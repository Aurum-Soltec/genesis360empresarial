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fb7ef548e43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3efe1e165364056"/>
    <x:sheet xmlns:r="http://schemas.openxmlformats.org/officeDocument/2006/relationships" name="Traceabilidade" sheetId="2" r:id="Rb2655213cf324cbc"/>
    <x:sheet xmlns:r="http://schemas.openxmlformats.org/officeDocument/2006/relationships" name="Backlog" sheetId="3" r:id="R61fbbd1985e64449"/>
    <x:sheet xmlns:r="http://schemas.openxmlformats.org/officeDocument/2006/relationships" name="Riscos" sheetId="4" r:id="R4cfbd6a19af94ecf"/>
    <x:sheet xmlns:r="http://schemas.openxmlformats.org/officeDocument/2006/relationships" name="ADRs" sheetId="5" r:id="R03e55b5134814e5f"/>
    <x:sheet xmlns:r="http://schemas.openxmlformats.org/officeDocument/2006/relationships" name="Piloto" sheetId="6" r:id="R0a80c1e9cd984cd5"/>
    <x:sheet xmlns:r="http://schemas.openxmlformats.org/officeDocument/2006/relationships" name="Roadmap" sheetId="7" r:id="R51bca37707804761"/>
    <x:sheet xmlns:r="http://schemas.openxmlformats.org/officeDocument/2006/relationships" name="Glossário" sheetId="8" r:id="R8daf789d9bf64e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B8FF3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0F0C"/>
      </x:patternFill>
    </x:fill>
    <x:fill>
      <x:patternFill patternType="solid">
        <x:fgColor rgb="FF16321F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ECACA"/>
        </x:patternFill>
      </x:fill>
    </x:dxf>
    <x:dxf>
      <x:font>
        <x:b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554fe01e5e4de6" /><Relationship Type="http://schemas.openxmlformats.org/officeDocument/2006/relationships/theme" Target="/xl/theme/theme1.xml" Id="R50a2ec19aaef4ba6" /><Relationship Type="http://schemas.openxmlformats.org/officeDocument/2006/relationships/sharedStrings" Target="/xl/sharedStrings.xml" Id="R707f99c2438d4434" /><Relationship Type="http://schemas.openxmlformats.org/officeDocument/2006/relationships/worksheet" Target="/xl/worksheets/sheet1.xml" Id="R83efe1e165364056" /><Relationship Type="http://schemas.openxmlformats.org/officeDocument/2006/relationships/worksheet" Target="/xl/worksheets/sheet2.xml" Id="Rb2655213cf324cbc" /><Relationship Type="http://schemas.openxmlformats.org/officeDocument/2006/relationships/worksheet" Target="/xl/worksheets/sheet3.xml" Id="R61fbbd1985e64449" /><Relationship Type="http://schemas.openxmlformats.org/officeDocument/2006/relationships/worksheet" Target="/xl/worksheets/sheet4.xml" Id="R4cfbd6a19af94ecf" /><Relationship Type="http://schemas.openxmlformats.org/officeDocument/2006/relationships/worksheet" Target="/xl/worksheets/sheet5.xml" Id="R03e55b5134814e5f" /><Relationship Type="http://schemas.openxmlformats.org/officeDocument/2006/relationships/worksheet" Target="/xl/worksheets/sheet6.xml" Id="R0a80c1e9cd984cd5" /><Relationship Type="http://schemas.openxmlformats.org/officeDocument/2006/relationships/worksheet" Target="/xl/worksheets/sheet7.xml" Id="R51bca37707804761" /><Relationship Type="http://schemas.openxmlformats.org/officeDocument/2006/relationships/worksheet" Target="/xl/worksheets/sheet8.xml" Id="R8daf789d9bf64e11" /></Relationships>
</file>

<file path=xl/tables/table1.xml><?xml version="1.0" encoding="utf-8"?>
<x:table xmlns:x="http://schemas.openxmlformats.org/spreadsheetml/2006/main" id="1" name="TraceabilityTable" displayName="TraceabilityTable" ref="A2:N40" headerRowCount="1">
  <x:tableColumns count="14">
    <x:tableColumn id="1" name="ID"/>
    <x:tableColumn id="2" name="Categoria"/>
    <x:tableColumn id="3" name="Requisito"/>
    <x:tableColumn id="4" name="Milestone"/>
    <x:tableColumn id="5" name="Módulo"/>
    <x:tableColumn id="6" name="Entidades"/>
    <x:tableColumn id="7" name="API"/>
    <x:tableColumn id="8" name="Evento"/>
    <x:tableColumn id="9" name="História(s)"/>
    <x:tableColumn id="10" name="Teste(s)"/>
    <x:tableColumn id="11" name="Responsável"/>
    <x:tableColumn id="12" name="Prioridade"/>
    <x:tableColumn id="13" name="Critério de aceite"/>
    <x:tableColumn id="14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BacklogTable" displayName="BacklogTable" ref="A2:M57" headerRowCount="1">
  <x:tableColumns count="13">
    <x:tableColumn id="1" name="ID"/>
    <x:tableColumn id="2" name="Épico"/>
    <x:tableColumn id="3" name="Milestone"/>
    <x:tableColumn id="4" name="Janela"/>
    <x:tableColumn id="5" name="Prioridade"/>
    <x:tableColumn id="6" name="História"/>
    <x:tableColumn id="7" name="Owner"/>
    <x:tableColumn id="8" name="Requisitos"/>
    <x:tableColumn id="9" name="Dependências"/>
    <x:tableColumn id="10" name="Estimativa"/>
    <x:tableColumn id="11" name="Aceite"/>
    <x:tableColumn id="12" name="Testes"/>
    <x:tableColumn id="13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RiskTable" displayName="RiskTable" ref="A2:J17" headerRowCount="1">
  <x:tableColumns count="10">
    <x:tableColumn id="1" name="ID"/>
    <x:tableColumn id="2" name="Categoria"/>
    <x:tableColumn id="3" name="Risco"/>
    <x:tableColumn id="4" name="Probabilidade"/>
    <x:tableColumn id="5" name="Impacto"/>
    <x:tableColumn id="6" name="Nível"/>
    <x:tableColumn id="7" name="Mitigação"/>
    <x:tableColumn id="8" name="Owner"/>
    <x:tableColumn id="9" name="Gatilho"/>
    <x:tableColumn id="10" name="Contingência"/>
  </x:tableColumns>
  <x:tableStyleInfo name="TableStyleMedium2" showRowStripes="1"/>
</x:table>
</file>

<file path=xl/tables/table4.xml><?xml version="1.0" encoding="utf-8"?>
<x:table xmlns:x="http://schemas.openxmlformats.org/spreadsheetml/2006/main" id="4" name="ADRTable" displayName="ADRTable" ref="A2:I12" headerRowCount="1">
  <x:tableColumns count="9">
    <x:tableColumn id="1" name="ID"/>
    <x:tableColumn id="2" name="Título"/>
    <x:tableColumn id="3" name="Status"/>
    <x:tableColumn id="4" name="Data"/>
    <x:tableColumn id="5" name="Decisão"/>
    <x:tableColumn id="6" name="Alternativas"/>
    <x:tableColumn id="7" name="Racional"/>
    <x:tableColumn id="8" name="Consequências"/>
    <x:tableColumn id="9" name="Owner"/>
  </x:tableColumns>
  <x:tableStyleInfo name="TableStyleMedium2" showRowStripes="1"/>
</x:table>
</file>

<file path=xl/tables/table5.xml><?xml version="1.0" encoding="utf-8"?>
<x:table xmlns:x="http://schemas.openxmlformats.org/spreadsheetml/2006/main" id="5" name="PilotTable" displayName="PilotTable" ref="A2:F18" headerRowCount="1">
  <x:tableColumns count="6">
    <x:tableColumn id="1" name="Coorte/Gate"/>
    <x:tableColumn id="2" name="Métrica"/>
    <x:tableColumn id="3" name="Meta"/>
    <x:tableColumn id="4" name="Coleta"/>
    <x:tableColumn id="5" name="Owner"/>
    <x:tableColumn id="6" name="Regra de decisão"/>
  </x:tableColumns>
  <x:tableStyleInfo name="TableStyleMedium2" showRowStripes="1"/>
</x:table>
</file>

<file path=xl/tables/table6.xml><?xml version="1.0" encoding="utf-8"?>
<x:table xmlns:x="http://schemas.openxmlformats.org/spreadsheetml/2006/main" id="6" name="RoadmapTable" displayName="RoadmapTable" ref="A2:G5" headerRowCount="1">
  <x:tableColumns count="7">
    <x:tableColumn id="1" name="Milestone"/>
    <x:tableColumn id="2" name="Período"/>
    <x:tableColumn id="3" name="Data-alvo"/>
    <x:tableColumn id="4" name="Objetivo"/>
    <x:tableColumn id="5" name="Incluído"/>
    <x:tableColumn id="6" name="Fora do escopo"/>
    <x:tableColumn id="7" name="G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b42d223e624f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0b0e94e65f4f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4b425f16a547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d761d9748045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92967a465148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bcf59dccc942c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GENESIS 360º — PAINEL DE ORQUESTRAÇÃO V3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Indicador</x:v>
      </x:c>
      <x:c r="B3" s="14" t="str">
        <x:v>Valor</x:v>
      </x:c>
    </x:row>
    <x:row r="4">
      <x:c r="A4" s="20" t="str">
        <x:v>Requisitos totais</x:v>
      </x:c>
      <x:c r="B4" s="21" t="n">
        <x:v>38</x:v>
      </x:c>
    </x:row>
    <x:row r="5">
      <x:c r="A5" s="22" t="str">
        <x:v>Histórias totais</x:v>
      </x:c>
      <x:c r="B5" s="23" t="n">
        <x:v>55</x:v>
      </x:c>
    </x:row>
    <x:row r="6">
      <x:c r="A6" s="22" t="str">
        <x:v>Riscos críticos/altos</x:v>
      </x:c>
      <x:c r="B6" s="23" t="n">
        <x:f>COUNTIF(Riscos!F3:F100,"Crítico")+COUNTIF(Riscos!F3:F100,"Alto")</x:f>
        <x:v>14</x:v>
      </x:c>
    </x:row>
    <x:row r="7">
      <x:c r="A7" s="22" t="str">
        <x:v>ADRs aceitos</x:v>
      </x:c>
      <x:c r="B7" s="23" t="n">
        <x:f>COUNTIF(ADRs!C3:C100,"Aceito")+COUNTIF(ADRs!C3:C100,"Aceito condicionado")+COUNTIF(ADRs!C3:C100,"Aceito provisório")</x:f>
        <x:v>10</x:v>
      </x:c>
    </x:row>
    <x:row r="8">
      <x:c r="A8" s="22" t="str">
        <x:v>M0 histórias</x:v>
      </x:c>
      <x:c r="B8" s="23" t="n">
        <x:f>COUNTIF(Backlog!C3:C100,"M0 - 5 dias")</x:f>
        <x:v>15</x:v>
      </x:c>
    </x:row>
    <x:row r="9">
      <x:c r="A9" s="24" t="str">
        <x:v>M1 histórias</x:v>
      </x:c>
      <x:c r="B9" s="25" t="n">
        <x:f>COUNTIF(Backlog!C3:C100,"M1 - 30 dias")</x:f>
        <x:v>25</x:v>
      </x:c>
    </x:row>
    <x:row r="10">
      <x:c r="A10" t="str">
        <x:v>V1 histórias</x:v>
      </x:c>
      <x:c r="B10" t="n">
        <x:f>COUNTIF(Backlog!C3:C100,"V1 Starter - 45 dias")</x:f>
        <x:v>15</x:v>
      </x:c>
    </x:row>
    <x:row r="11">
      <x:c r="A11" s="14" t="str">
        <x:v>DECISÕES-CHAVE</x:v>
      </x:c>
      <x:c r="B11" s="14" t="str"/>
      <x:c r="C11" s="14" t="str"/>
      <x:c r="D11" s="14" t="str"/>
      <x:c r="E11" s="14" t="str"/>
      <x:c r="F11" s="14" t="str"/>
      <x:c r="G11" s="14" t="str"/>
      <x:c r="H11" s="14" t="str"/>
    </x:row>
    <x:row r="12">
      <x:c r="A12" s="37" t="str">
        <x:v>M0</x:v>
      </x:c>
      <x:c r="B12" s="38" t="str">
        <x:v>Demo funcional controlada; não é produção</x:v>
      </x:c>
      <x:c r="C12" s="38" t="str"/>
      <x:c r="D12" s="38" t="str"/>
      <x:c r="E12" s="38" t="str"/>
      <x:c r="F12" s="38" t="str"/>
      <x:c r="G12" s="38" t="str"/>
      <x:c r="H12" s="39" t="str"/>
    </x:row>
    <x:row r="13">
      <x:c r="A13" s="40" t="str">
        <x:v>Unique</x:v>
      </x:c>
      <x:c r="B13" s="41" t="str">
        <x:v>Parceira patrocinadora de lançamento com disclosure; referral só com critérios e consentimento</x:v>
      </x:c>
      <x:c r="C13" s="41" t="str"/>
      <x:c r="D13" s="41" t="str"/>
      <x:c r="E13" s="41" t="str"/>
      <x:c r="F13" s="41" t="str"/>
      <x:c r="G13" s="41" t="str"/>
      <x:c r="H13" s="42" t="str"/>
    </x:row>
    <x:row r="14">
      <x:c r="A14" s="40" t="str">
        <x:v>Ranking</x:v>
      </x:c>
      <x:c r="B14" s="41" t="str">
        <x:v>Plano e patrocínio excluídos do score orgânico</x:v>
      </x:c>
      <x:c r="C14" s="41" t="str"/>
      <x:c r="D14" s="41" t="str"/>
      <x:c r="E14" s="41" t="str"/>
      <x:c r="F14" s="41" t="str"/>
      <x:c r="G14" s="41" t="str"/>
      <x:c r="H14" s="42" t="str"/>
    </x:row>
    <x:row r="15">
      <x:c r="A15" s="43" t="str">
        <x:v>Starter</x:v>
      </x:c>
      <x:c r="B15" s="44" t="str">
        <x:v>BEE4, Capital Readiness e recursos avançados ficam fora dos 45 dias</x:v>
      </x:c>
      <x:c r="C15" s="44" t="str"/>
      <x:c r="D15" s="44" t="str"/>
      <x:c r="E15" s="44" t="str"/>
      <x:c r="F15" s="44" t="str"/>
      <x:c r="G15" s="44" t="str"/>
      <x:c r="H15" s="45" t="str"/>
    </x:row>
  </x:sheetData>
  <x:mergeCells>
    <x:mergeCell ref="A1:H1"/>
    <x:mergeCell ref="B12:H12"/>
    <x:mergeCell ref="B13:H13"/>
    <x:mergeCell ref="B14:H14"/>
    <x:mergeCell ref="B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8" hidden="0" customWidth="1"/>
    <x:col min="4" max="4" width="20" hidden="0" customWidth="1"/>
    <x:col min="5" max="5" width="20" hidden="0" customWidth="1"/>
    <x:col min="6" max="6" width="28" hidden="0" customWidth="1"/>
    <x:col min="7" max="7" width="28" hidden="0" customWidth="1"/>
    <x:col min="8" max="8" width="24" hidden="0" customWidth="1"/>
    <x:col min="9" max="9" width="20" hidden="0" customWidth="1"/>
    <x:col min="10" max="10" width="20" hidden="0" customWidth="1"/>
    <x:col min="11" max="11" width="24" hidden="0" customWidth="1"/>
    <x:col min="12" max="12" width="12" hidden="0" customWidth="1"/>
    <x:col min="13" max="13" width="44" hidden="0" customWidth="1"/>
    <x:col min="14" max="14" width="14" hidden="0" customWidth="1"/>
  </x:cols>
  <x:sheetData>
    <x:row r="1" ht="19.200000762939453" hidden="0" customHeight="1">
      <x:c r="A1" s="5" t="str">
        <x:v>Matriz requisito → módulo → entidade → API → evento → história → teste → responsável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15" hidden="0" customHeight="1">
      <x:c r="A2" s="57" t="str">
        <x:v>ID</x:v>
      </x:c>
      <x:c r="B2" s="58" t="str">
        <x:v>Categoria</x:v>
      </x:c>
      <x:c r="C2" s="58" t="str">
        <x:v>Requisito</x:v>
      </x:c>
      <x:c r="D2" s="58" t="str">
        <x:v>Milestone</x:v>
      </x:c>
      <x:c r="E2" s="58" t="str">
        <x:v>Módulo</x:v>
      </x:c>
      <x:c r="F2" s="58" t="str">
        <x:v>Entidades</x:v>
      </x:c>
      <x:c r="G2" s="58" t="str">
        <x:v>API</x:v>
      </x:c>
      <x:c r="H2" s="58" t="str">
        <x:v>Evento</x:v>
      </x:c>
      <x:c r="I2" s="58" t="str">
        <x:v>História(s)</x:v>
      </x:c>
      <x:c r="J2" s="58" t="str">
        <x:v>Teste(s)</x:v>
      </x:c>
      <x:c r="K2" s="58" t="str">
        <x:v>Responsável</x:v>
      </x:c>
      <x:c r="L2" s="58" t="str">
        <x:v>Prioridade</x:v>
      </x:c>
      <x:c r="M2" s="58" t="str">
        <x:v>Critério de aceite</x:v>
      </x:c>
      <x:c r="N2" s="59" t="str">
        <x:v>Status</x:v>
      </x:c>
    </x:row>
    <x:row r="3" ht="26.399999618530273" hidden="0" customHeight="1">
      <x:c r="A3" s="60" t="str">
        <x:v>REQ-001</x:v>
      </x:c>
      <x:c r="B3" s="55" t="str">
        <x:v>Governança</x:v>
      </x:c>
      <x:c r="C3" s="55" t="str">
        <x:v>Baseline documental única e registro de versões</x:v>
      </x:c>
      <x:c r="D3" s="55" t="str">
        <x:v>M0 - 5 dias</x:v>
      </x:c>
      <x:c r="E3" s="55" t="str">
        <x:v>Governança</x:v>
      </x:c>
      <x:c r="F3" s="55" t="str">
        <x:v>document_registry, adr</x:v>
      </x:c>
      <x:c r="G3" s="55" t="str">
        <x:v>GET /v1/meta/version</x:v>
      </x:c>
      <x:c r="H3" s="55" t="str">
        <x:v>document.versioned</x:v>
      </x:c>
      <x:c r="I3" s="55" t="str">
        <x:v>ST-001</x:v>
      </x:c>
      <x:c r="J3" s="55" t="str">
        <x:v>T-DOC-001</x:v>
      </x:c>
      <x:c r="K3" s="55" t="str">
        <x:v>Hudson (A) / Fernando (R)</x:v>
      </x:c>
      <x:c r="L3" s="55" t="str">
        <x:v>P0</x:v>
      </x:c>
      <x:c r="M3" s="55" t="str">
        <x:v>Existe uma única versão vigente e documentos superados estão marcados</x:v>
      </x:c>
      <x:c r="N3" s="61" t="str">
        <x:v>Planejado</x:v>
      </x:c>
    </x:row>
    <x:row r="4" ht="26.399999618530273" hidden="0" customHeight="1">
      <x:c r="A4" s="60" t="str">
        <x:v>REQ-002</x:v>
      </x:c>
      <x:c r="B4" s="55" t="str">
        <x:v>Identidade</x:v>
      </x:c>
      <x:c r="C4" s="55" t="str">
        <x:v>Cadastro, login e sessão segura</x:v>
      </x:c>
      <x:c r="D4" s="55" t="str">
        <x:v>M0 - 5 dias</x:v>
      </x:c>
      <x:c r="E4" s="55" t="str">
        <x:v>Identidade</x:v>
      </x:c>
      <x:c r="F4" s="55" t="str">
        <x:v>user, session</x:v>
      </x:c>
      <x:c r="G4" s="55" t="str">
        <x:v>POST /auth; POST /logout</x:v>
      </x:c>
      <x:c r="H4" s="55" t="str">
        <x:v>user.authenticated</x:v>
      </x:c>
      <x:c r="I4" s="55" t="str">
        <x:v>ST-003</x:v>
      </x:c>
      <x:c r="J4" s="55" t="str">
        <x:v>T-AUTH-001</x:v>
      </x:c>
      <x:c r="K4" s="55" t="str">
        <x:v>Fernando</x:v>
      </x:c>
      <x:c r="L4" s="55" t="str">
        <x:v>P0</x:v>
      </x:c>
      <x:c r="M4" s="55" t="str">
        <x:v>Usuário autorizado entra e usuário não autorizado é bloqueado</x:v>
      </x:c>
      <x:c r="N4" s="61" t="str">
        <x:v>Planejado</x:v>
      </x:c>
    </x:row>
    <x:row r="5" ht="15" hidden="0" customHeight="1">
      <x:c r="A5" s="60" t="str">
        <x:v>REQ-003</x:v>
      </x:c>
      <x:c r="B5" s="55" t="str">
        <x:v>Tenancy</x:v>
      </x:c>
      <x:c r="C5" s="55" t="str">
        <x:v>Isolamento por empresa/tenant</x:v>
      </x:c>
      <x:c r="D5" s="55" t="str">
        <x:v>M1 - 30 dias</x:v>
      </x:c>
      <x:c r="E5" s="55" t="str">
        <x:v>Identidade/Dados</x:v>
      </x:c>
      <x:c r="F5" s="55" t="str">
        <x:v>tenant, membership, company</x:v>
      </x:c>
      <x:c r="G5" s="55" t="str">
        <x:v>GET /v1/companies/{id}</x:v>
      </x:c>
      <x:c r="H5" s="55" t="str">
        <x:v>tenant.accessed</x:v>
      </x:c>
      <x:c r="I5" s="55" t="str">
        <x:v>ST-016</x:v>
      </x:c>
      <x:c r="J5" s="55" t="str">
        <x:v>T-TEN-001</x:v>
      </x:c>
      <x:c r="K5" s="55" t="str">
        <x:v>Fernando</x:v>
      </x:c>
      <x:c r="L5" s="55" t="str">
        <x:v>P0</x:v>
      </x:c>
      <x:c r="M5" s="55" t="str">
        <x:v>RLS obrigatória impede acesso cruzado entre tenants</x:v>
      </x:c>
      <x:c r="N5" s="61" t="str">
        <x:v>Planejado</x:v>
      </x:c>
    </x:row>
    <x:row r="6" ht="26.399999618530273" hidden="0" customHeight="1">
      <x:c r="A6" s="60" t="str">
        <x:v>REQ-004</x:v>
      </x:c>
      <x:c r="B6" s="55" t="str">
        <x:v>Consentimento</x:v>
      </x:c>
      <x:c r="C6" s="55" t="str">
        <x:v>Consentimento granular e compartilhamento com parceiro</x:v>
      </x:c>
      <x:c r="D6" s="55" t="str">
        <x:v>M0 - 5 dias</x:v>
      </x:c>
      <x:c r="E6" s="55" t="str">
        <x:v>Privacidade</x:v>
      </x:c>
      <x:c r="F6" s="55" t="str">
        <x:v>consent, consent_version</x:v>
      </x:c>
      <x:c r="G6" s="55" t="str">
        <x:v>POST /v1/consents</x:v>
      </x:c>
      <x:c r="H6" s="55" t="str">
        <x:v>consent.granted</x:v>
      </x:c>
      <x:c r="I6" s="55" t="str">
        <x:v>ST-005</x:v>
      </x:c>
      <x:c r="J6" s="55" t="str">
        <x:v>T-LGPD-001</x:v>
      </x:c>
      <x:c r="K6" s="55" t="str">
        <x:v>Lilian / Fernando</x:v>
      </x:c>
      <x:c r="L6" s="55" t="str">
        <x:v>P0</x:v>
      </x:c>
      <x:c r="M6" s="55" t="str">
        <x:v>Nenhum encaminhamento ocorre sem consentimento explícito e versionado</x:v>
      </x:c>
      <x:c r="N6" s="61" t="str">
        <x:v>Planejado</x:v>
      </x:c>
    </x:row>
    <x:row r="7" ht="26.399999618530273" hidden="0" customHeight="1">
      <x:c r="A7" s="60" t="str">
        <x:v>REQ-005</x:v>
      </x:c>
      <x:c r="B7" s="55" t="str">
        <x:v>Empresa</x:v>
      </x:c>
      <x:c r="C7" s="55" t="str">
        <x:v>Cadastro essencial da empresa</x:v>
      </x:c>
      <x:c r="D7" s="55" t="str">
        <x:v>M0 - 5 dias</x:v>
      </x:c>
      <x:c r="E7" s="55" t="str">
        <x:v>Company</x:v>
      </x:c>
      <x:c r="F7" s="55" t="str">
        <x:v>company, company_profile</x:v>
      </x:c>
      <x:c r="G7" s="55" t="str">
        <x:v>POST /v1/companies</x:v>
      </x:c>
      <x:c r="H7" s="55" t="str">
        <x:v>company.created</x:v>
      </x:c>
      <x:c r="I7" s="55" t="str">
        <x:v>ST-004</x:v>
      </x:c>
      <x:c r="J7" s="55" t="str">
        <x:v>T-COMP-001</x:v>
      </x:c>
      <x:c r="K7" s="55" t="str">
        <x:v>Fernando</x:v>
      </x:c>
      <x:c r="L7" s="55" t="str">
        <x:v>P0</x:v>
      </x:c>
      <x:c r="M7" s="55" t="str">
        <x:v>Empresa é criada com CNPJ opcional no demo e campos mínimos válidos</x:v>
      </x:c>
      <x:c r="N7" s="61" t="str">
        <x:v>Planejado</x:v>
      </x:c>
    </x:row>
    <x:row r="8" ht="26.399999618530273" hidden="0" customHeight="1">
      <x:c r="A8" s="60" t="str">
        <x:v>REQ-006</x:v>
      </x:c>
      <x:c r="B8" s="55" t="str">
        <x:v>Diagnóstico</x:v>
      </x:c>
      <x:c r="C8" s="55" t="str">
        <x:v>Questionário essencial com salvamento e conclusão</x:v>
      </x:c>
      <x:c r="D8" s="55" t="str">
        <x:v>M0 - 5 dias</x:v>
      </x:c>
      <x:c r="E8" s="55" t="str">
        <x:v>Diagnóstico</x:v>
      </x:c>
      <x:c r="F8" s="55" t="str">
        <x:v>diagnostic, question, answer</x:v>
      </x:c>
      <x:c r="G8" s="55" t="str">
        <x:v>POST /v1/diagnostics; /submit</x:v>
      </x:c>
      <x:c r="H8" s="55" t="str">
        <x:v>diagnostic.completed</x:v>
      </x:c>
      <x:c r="I8" s="55" t="str">
        <x:v>ST-006</x:v>
      </x:c>
      <x:c r="J8" s="55" t="str">
        <x:v>T-DIAG-001</x:v>
      </x:c>
      <x:c r="K8" s="55" t="str">
        <x:v>Hudson / Fernando</x:v>
      </x:c>
      <x:c r="L8" s="55" t="str">
        <x:v>P0</x:v>
      </x:c>
      <x:c r="M8" s="55" t="str">
        <x:v>Usuário conclui em até 15 minutos e recebe resultado</x:v>
      </x:c>
      <x:c r="N8" s="61" t="str">
        <x:v>Planejado</x:v>
      </x:c>
    </x:row>
    <x:row r="9" ht="26.399999618530273" hidden="0" customHeight="1">
      <x:c r="A9" s="60" t="str">
        <x:v>REQ-007</x:v>
      </x:c>
      <x:c r="B9" s="55" t="str">
        <x:v>Scoring</x:v>
      </x:c>
      <x:c r="C9" s="55" t="str">
        <x:v>Score determinístico, explicável e versionado</x:v>
      </x:c>
      <x:c r="D9" s="55" t="str">
        <x:v>M0 - 5 dias</x:v>
      </x:c>
      <x:c r="E9" s="55" t="str">
        <x:v>Scoring</x:v>
      </x:c>
      <x:c r="F9" s="55" t="str">
        <x:v>score, rule_version</x:v>
      </x:c>
      <x:c r="G9" s="55" t="str">
        <x:v>GET /v1/diagnostics/{id}/scores</x:v>
      </x:c>
      <x:c r="H9" s="55" t="str">
        <x:v>score.generated</x:v>
      </x:c>
      <x:c r="I9" s="55" t="str">
        <x:v>ST-007</x:v>
      </x:c>
      <x:c r="J9" s="55" t="str">
        <x:v>T-SCORE-001</x:v>
      </x:c>
      <x:c r="K9" s="55" t="str">
        <x:v>Hudson / Fernando</x:v>
      </x:c>
      <x:c r="L9" s="55" t="str">
        <x:v>P0</x:v>
      </x:c>
      <x:c r="M9" s="55" t="str">
        <x:v>Mesmo conjunto de respostas produz o mesmo score e explicação</x:v>
      </x:c>
      <x:c r="N9" s="61" t="str">
        <x:v>Planejado</x:v>
      </x:c>
    </x:row>
    <x:row r="10" ht="26.399999618530273" hidden="0" customHeight="1">
      <x:c r="A10" s="60" t="str">
        <x:v>REQ-008</x:v>
      </x:c>
      <x:c r="B10" s="55" t="str">
        <x:v>Business Twin</x:v>
      </x:c>
      <x:c r="C10" s="55" t="str">
        <x:v>Fatos com fonte, confiança, validade e histórico</x:v>
      </x:c>
      <x:c r="D10" s="55" t="str">
        <x:v>M1 - 30 dias</x:v>
      </x:c>
      <x:c r="E10" s="55" t="str">
        <x:v>Twin</x:v>
      </x:c>
      <x:c r="F10" s="55" t="str">
        <x:v>business_twin, twin_fact</x:v>
      </x:c>
      <x:c r="G10" s="55" t="str">
        <x:v>GET/POST /v1/twins/{companyId}</x:v>
      </x:c>
      <x:c r="H10" s="55" t="str">
        <x:v>twin.fact.updated</x:v>
      </x:c>
      <x:c r="I10" s="55" t="str">
        <x:v>ST-018</x:v>
      </x:c>
      <x:c r="J10" s="55" t="str">
        <x:v>T-TWIN-001</x:v>
      </x:c>
      <x:c r="K10" s="55" t="str">
        <x:v>Fernando</x:v>
      </x:c>
      <x:c r="L10" s="55" t="str">
        <x:v>P0</x:v>
      </x:c>
      <x:c r="M10" s="55" t="str">
        <x:v>Fato distingue declaração, documento, inferência e revisão humana</x:v>
      </x:c>
      <x:c r="N10" s="61" t="str">
        <x:v>Planejado</x:v>
      </x:c>
    </x:row>
    <x:row r="11" ht="26.399999618530273" hidden="0" customHeight="1">
      <x:c r="A11" s="60" t="str">
        <x:v>REQ-009</x:v>
      </x:c>
      <x:c r="B11" s="55" t="str">
        <x:v>Decisão</x:v>
      </x:c>
      <x:c r="C11" s="55" t="str">
        <x:v>Recomendação no Genesis Decision Standard</x:v>
      </x:c>
      <x:c r="D11" s="55" t="str">
        <x:v>M0 - 5 dias</x:v>
      </x:c>
      <x:c r="E11" s="55" t="str">
        <x:v>GDS</x:v>
      </x:c>
      <x:c r="F11" s="55" t="str">
        <x:v>decision, alternative, review</x:v>
      </x:c>
      <x:c r="G11" s="55" t="str">
        <x:v>POST /v1/decisions</x:v>
      </x:c>
      <x:c r="H11" s="55" t="str">
        <x:v>decision.recommended</x:v>
      </x:c>
      <x:c r="I11" s="55" t="str">
        <x:v>ST-008</x:v>
      </x:c>
      <x:c r="J11" s="55" t="str">
        <x:v>T-GDS-001</x:v>
      </x:c>
      <x:c r="K11" s="55" t="str">
        <x:v>Hudson / Fernando</x:v>
      </x:c>
      <x:c r="L11" s="55" t="str">
        <x:v>P0</x:v>
      </x:c>
      <x:c r="M11" s="55" t="str">
        <x:v>Saída contém problema, evidência, opções, risco e próxima ação</x:v>
      </x:c>
      <x:c r="N11" s="61" t="str">
        <x:v>Planejado</x:v>
      </x:c>
    </x:row>
    <x:row r="12" ht="26.399999618530273" hidden="0" customHeight="1">
      <x:c r="A12" s="60" t="str">
        <x:v>REQ-010</x:v>
      </x:c>
      <x:c r="B12" s="55" t="str">
        <x:v>Missões</x:v>
      </x:c>
      <x:c r="C12" s="55" t="str">
        <x:v>Missão com dono, prazo, indicador e status</x:v>
      </x:c>
      <x:c r="D12" s="55" t="str">
        <x:v>M1 - 30 dias</x:v>
      </x:c>
      <x:c r="E12" s="55" t="str">
        <x:v>Execução</x:v>
      </x:c>
      <x:c r="F12" s="55" t="str">
        <x:v>mission, task, metric</x:v>
      </x:c>
      <x:c r="G12" s="55" t="str">
        <x:v>POST /v1/missions</x:v>
      </x:c>
      <x:c r="H12" s="55" t="str">
        <x:v>mission.created</x:v>
      </x:c>
      <x:c r="I12" s="55" t="str">
        <x:v>ST-022</x:v>
      </x:c>
      <x:c r="J12" s="55" t="str">
        <x:v>T-MIS-001</x:v>
      </x:c>
      <x:c r="K12" s="55" t="str">
        <x:v>Fernando</x:v>
      </x:c>
      <x:c r="L12" s="55" t="str">
        <x:v>P0</x:v>
      </x:c>
      <x:c r="M12" s="55" t="str">
        <x:v>Missão não pode ser criada sem responsável, prazo e indicador</x:v>
      </x:c>
      <x:c r="N12" s="61" t="str">
        <x:v>Planejado</x:v>
      </x:c>
    </x:row>
    <x:row r="13" ht="15" hidden="0" customHeight="1">
      <x:c r="A13" s="60" t="str">
        <x:v>REQ-011</x:v>
      </x:c>
      <x:c r="B13" s="55" t="str">
        <x:v>Evidências</x:v>
      </x:c>
      <x:c r="C13" s="55" t="str">
        <x:v>Upload/registro e validação de evidência</x:v>
      </x:c>
      <x:c r="D13" s="55" t="str">
        <x:v>M1 - 30 dias</x:v>
      </x:c>
      <x:c r="E13" s="55" t="str">
        <x:v>Execução</x:v>
      </x:c>
      <x:c r="F13" s="55" t="str">
        <x:v>evidence, document</x:v>
      </x:c>
      <x:c r="G13" s="55" t="str">
        <x:v>POST /v1/missions/{id}/evidence</x:v>
      </x:c>
      <x:c r="H13" s="55" t="str">
        <x:v>evidence.submitted</x:v>
      </x:c>
      <x:c r="I13" s="55" t="str">
        <x:v>ST-023</x:v>
      </x:c>
      <x:c r="J13" s="55" t="str">
        <x:v>T-EVD-001</x:v>
      </x:c>
      <x:c r="K13" s="55" t="str">
        <x:v>Fernando</x:v>
      </x:c>
      <x:c r="L13" s="55" t="str">
        <x:v>P0</x:v>
      </x:c>
      <x:c r="M13" s="55" t="str">
        <x:v>Evidência possui autor, data, tipo, hash/versão e status</x:v>
      </x:c>
      <x:c r="N13" s="61" t="str">
        <x:v>Planejado</x:v>
      </x:c>
    </x:row>
    <x:row r="14" ht="26.399999618530273" hidden="0" customHeight="1">
      <x:c r="A14" s="60" t="str">
        <x:v>REQ-012</x:v>
      </x:c>
      <x:c r="B14" s="55" t="str">
        <x:v>Resultados</x:v>
      </x:c>
      <x:c r="C14" s="55" t="str">
        <x:v>Baseline, meta, medição e linguagem de associação</x:v>
      </x:c>
      <x:c r="D14" s="55" t="str">
        <x:v>M1 - 30 dias</x:v>
      </x:c>
      <x:c r="E14" s="55" t="str">
        <x:v>Resultados</x:v>
      </x:c>
      <x:c r="F14" s="55" t="str">
        <x:v>outcome, metric_reading</x:v>
      </x:c>
      <x:c r="G14" s="55" t="str">
        <x:v>POST /v1/outcomes</x:v>
      </x:c>
      <x:c r="H14" s="55" t="str">
        <x:v>outcome.measured</x:v>
      </x:c>
      <x:c r="I14" s="55" t="str">
        <x:v>ST-024</x:v>
      </x:c>
      <x:c r="J14" s="55" t="str">
        <x:v>T-OUT-001</x:v>
      </x:c>
      <x:c r="K14" s="55" t="str">
        <x:v>Hudson / Fernando</x:v>
      </x:c>
      <x:c r="L14" s="55" t="str">
        <x:v>P0</x:v>
      </x:c>
      <x:c r="M14" s="55" t="str">
        <x:v>Produto não afirma causalidade sem base; registra contribuição/confiança</x:v>
      </x:c>
      <x:c r="N14" s="61" t="str">
        <x:v>Planejado</x:v>
      </x:c>
    </x:row>
    <x:row r="15" ht="26.399999618530273" hidden="0" customHeight="1">
      <x:c r="A15" s="60" t="str">
        <x:v>REQ-013</x:v>
      </x:c>
      <x:c r="B15" s="55" t="str">
        <x:v>Dashboard</x:v>
      </x:c>
      <x:c r="C15" s="55" t="str">
        <x:v>Tela Próxima Melhor Ação</x:v>
      </x:c>
      <x:c r="D15" s="55" t="str">
        <x:v>M0 - 5 dias</x:v>
      </x:c>
      <x:c r="E15" s="55" t="str">
        <x:v>Experiência</x:v>
      </x:c>
      <x:c r="F15" s="55" t="str">
        <x:v>dashboard_projection</x:v>
      </x:c>
      <x:c r="G15" s="55" t="str">
        <x:v>GET /v1/dashboard</x:v>
      </x:c>
      <x:c r="H15" s="55" t="str">
        <x:v>dashboard.viewed</x:v>
      </x:c>
      <x:c r="I15" s="55" t="str">
        <x:v>ST-008</x:v>
      </x:c>
      <x:c r="J15" s="55" t="str">
        <x:v>T-UX-001</x:v>
      </x:c>
      <x:c r="K15" s="55" t="str">
        <x:v>Fernando</x:v>
      </x:c>
      <x:c r="L15" s="55" t="str">
        <x:v>P0</x:v>
      </x:c>
      <x:c r="M15" s="55" t="str">
        <x:v>Usuário vê um problema, uma recomendação e uma ação prioritária</x:v>
      </x:c>
      <x:c r="N15" s="61" t="str">
        <x:v>Planejado</x:v>
      </x:c>
    </x:row>
    <x:row r="16" ht="26.399999618530273" hidden="0" customHeight="1">
      <x:c r="A16" s="60" t="str">
        <x:v>REQ-014</x:v>
      </x:c>
      <x:c r="B16" s="55" t="str">
        <x:v>Tax Screener</x:v>
      </x:c>
      <x:c r="C16" s="55" t="str">
        <x:v>Triagem tributária preliminar configurável</x:v>
      </x:c>
      <x:c r="D16" s="55" t="str">
        <x:v>M0 - 5 dias</x:v>
      </x:c>
      <x:c r="E16" s="55" t="str">
        <x:v>CTO-Tax</x:v>
      </x:c>
      <x:c r="F16" s="55" t="str">
        <x:v>tax_assessment, tax_answer</x:v>
      </x:c>
      <x:c r="G16" s="55" t="str">
        <x:v>POST /v1/tax/assessments</x:v>
      </x:c>
      <x:c r="H16" s="55" t="str">
        <x:v>tax.assessment.completed</x:v>
      </x:c>
      <x:c r="I16" s="55" t="str">
        <x:v>ST-009</x:v>
      </x:c>
      <x:c r="J16" s="55" t="str">
        <x:v>T-TAX-001</x:v>
      </x:c>
      <x:c r="K16" s="55" t="str">
        <x:v>Especialista tributário / Fernando</x:v>
      </x:c>
      <x:c r="L16" s="55" t="str">
        <x:v>P0</x:v>
      </x:c>
      <x:c r="M16" s="55" t="str">
        <x:v>Triagem classifica apenas prioridade de revisão, sem garantir crédito</x:v>
      </x:c>
      <x:c r="N16" s="61" t="str">
        <x:v>Planejado</x:v>
      </x:c>
    </x:row>
    <x:row r="17" ht="26.399999618530273" hidden="0" customHeight="1">
      <x:c r="A17" s="60" t="str">
        <x:v>REQ-015</x:v>
      </x:c>
      <x:c r="B17" s="55" t="str">
        <x:v>Regras tributárias</x:v>
      </x:c>
      <x:c r="C17" s="55" t="str">
        <x:v>Critérios versionados e aprovados por especialista</x:v>
      </x:c>
      <x:c r="D17" s="55" t="str">
        <x:v>M1 - 30 dias</x:v>
      </x:c>
      <x:c r="E17" s="55" t="str">
        <x:v>CTO-Tax</x:v>
      </x:c>
      <x:c r="F17" s="55" t="str">
        <x:v>tax_rule_version</x:v>
      </x:c>
      <x:c r="G17" s="55" t="str">
        <x:v>POST /v1/admin/tax-rules</x:v>
      </x:c>
      <x:c r="H17" s="55" t="str">
        <x:v>tax.rule.published</x:v>
      </x:c>
      <x:c r="I17" s="55" t="str">
        <x:v>ST-025</x:v>
      </x:c>
      <x:c r="J17" s="55" t="str">
        <x:v>T-TAX-002</x:v>
      </x:c>
      <x:c r="K17" s="55" t="str">
        <x:v>Especialista tributário</x:v>
      </x:c>
      <x:c r="L17" s="55" t="str">
        <x:v>P0</x:v>
      </x:c>
      <x:c r="M17" s="55" t="str">
        <x:v>Regra só entra ativa com owner, vigência, fonte e aprovação</x:v>
      </x:c>
      <x:c r="N17" s="61" t="str">
        <x:v>Planejado</x:v>
      </x:c>
    </x:row>
    <x:row r="18" ht="26.399999618530273" hidden="0" customHeight="1">
      <x:c r="A18" s="60" t="str">
        <x:v>REQ-016</x:v>
      </x:c>
      <x:c r="B18" s="55" t="str">
        <x:v>Linguagem segura</x:v>
      </x:c>
      <x:c r="C18" s="55" t="str">
        <x:v>Disclaimer e bloqueios tributários obrigatórios</x:v>
      </x:c>
      <x:c r="D18" s="55" t="str">
        <x:v>M0 - 5 dias</x:v>
      </x:c>
      <x:c r="E18" s="55" t="str">
        <x:v>CTO-Tax/Compliance</x:v>
      </x:c>
      <x:c r="F18" s="55" t="str">
        <x:v>disclaimer_version</x:v>
      </x:c>
      <x:c r="G18" s="55" t="str">
        <x:v>GET /v1/legal/disclaimers</x:v>
      </x:c>
      <x:c r="H18" s="55" t="str">
        <x:v>tax.guardrail.triggered</x:v>
      </x:c>
      <x:c r="I18" s="55" t="str">
        <x:v>ST-010</x:v>
      </x:c>
      <x:c r="J18" s="55" t="str">
        <x:v>T-TAX-003</x:v>
      </x:c>
      <x:c r="K18" s="55" t="str">
        <x:v>Lilian / Especialista</x:v>
      </x:c>
      <x:c r="L18" s="55" t="str">
        <x:v>P0</x:v>
      </x:c>
      <x:c r="M18" s="55" t="str">
        <x:v>Nenhuma tela usa 'crédito garantido', 'valor certo' ou 'êxito assegurado'</x:v>
      </x:c>
      <x:c r="N18" s="61" t="str">
        <x:v>Planejado</x:v>
      </x:c>
    </x:row>
    <x:row r="19" ht="26.399999618530273" hidden="0" customHeight="1">
      <x:c r="A19" s="60" t="str">
        <x:v>REQ-017</x:v>
      </x:c>
      <x:c r="B19" s="55" t="str">
        <x:v>Encaminhamento Unique</x:v>
      </x:c>
      <x:c r="C19" s="55" t="str">
        <x:v>Criação de caso para Unique após elegibilidade e consentimento</x:v>
      </x:c>
      <x:c r="D19" s="55" t="str">
        <x:v>M0 - 5 dias</x:v>
      </x:c>
      <x:c r="E19" s="55" t="str">
        <x:v>Oportunidades</x:v>
      </x:c>
      <x:c r="F19" s="55" t="str">
        <x:v>partner, referral, referral_status</x:v>
      </x:c>
      <x:c r="G19" s="55" t="str">
        <x:v>POST /v1/referrals</x:v>
      </x:c>
      <x:c r="H19" s="55" t="str">
        <x:v>referral.created</x:v>
      </x:c>
      <x:c r="I19" s="55" t="str">
        <x:v>ST-011</x:v>
      </x:c>
      <x:c r="J19" s="55" t="str">
        <x:v>T-REF-001</x:v>
      </x:c>
      <x:c r="K19" s="55" t="str">
        <x:v>Tatyanne / Fernando</x:v>
      </x:c>
      <x:c r="L19" s="55" t="str">
        <x:v>P0</x:v>
      </x:c>
      <x:c r="M19" s="55" t="str">
        <x:v>Caso inclui consentimento, origem, critérios e dados mínimos; não envia anexos sem autorização</x:v>
      </x:c>
      <x:c r="N19" s="61" t="str">
        <x:v>Planejado</x:v>
      </x:c>
    </x:row>
    <x:row r="20" ht="26.399999618530273" hidden="0" customHeight="1">
      <x:c r="A20" s="60" t="str">
        <x:v>REQ-018</x:v>
      </x:c>
      <x:c r="B20" s="55" t="str">
        <x:v>Patrocínio transparente</x:v>
      </x:c>
      <x:c r="C20" s="55" t="str">
        <x:v>Identificação de Unique como patrocinadora/parceira de lançamento</x:v>
      </x:c>
      <x:c r="D20" s="55" t="str">
        <x:v>M0 - 5 dias</x:v>
      </x:c>
      <x:c r="E20" s="55" t="str">
        <x:v>Integridade comercial</x:v>
      </x:c>
      <x:c r="F20" s="55" t="str">
        <x:v>sponsor_disclosure</x:v>
      </x:c>
      <x:c r="G20" s="55" t="str">
        <x:v>GET /v1/partners/unique</x:v>
      </x:c>
      <x:c r="H20" s="55" t="str">
        <x:v>sponsor.disclosed</x:v>
      </x:c>
      <x:c r="I20" s="55" t="str">
        <x:v>ST-010</x:v>
      </x:c>
      <x:c r="J20" s="55" t="str">
        <x:v>T-REF-002</x:v>
      </x:c>
      <x:c r="K20" s="55" t="str">
        <x:v>Tatyanne / Lilian</x:v>
      </x:c>
      <x:c r="L20" s="55" t="str">
        <x:v>P0</x:v>
      </x:c>
      <x:c r="M20" s="55" t="str">
        <x:v>Patrocínio é visível e não é apresentado como prova de superioridade técnica</x:v>
      </x:c>
      <x:c r="N20" s="61" t="str">
        <x:v>Planejado</x:v>
      </x:c>
    </x:row>
    <x:row r="21" ht="15" hidden="0" customHeight="1">
      <x:c r="A21" s="60" t="str">
        <x:v>REQ-019</x:v>
      </x:c>
      <x:c r="B21" s="55" t="str">
        <x:v>Revisão tributária</x:v>
      </x:c>
      <x:c r="C21" s="55" t="str">
        <x:v>Portal/fila de revisão humana e estados do caso</x:v>
      </x:c>
      <x:c r="D21" s="55" t="str">
        <x:v>M1 - 30 dias</x:v>
      </x:c>
      <x:c r="E21" s="55" t="str">
        <x:v>CTO-Tax</x:v>
      </x:c>
      <x:c r="F21" s="55" t="str">
        <x:v>tax_case, tax_review</x:v>
      </x:c>
      <x:c r="G21" s="55" t="str">
        <x:v>POST /v1/tax/cases/{id}/review</x:v>
      </x:c>
      <x:c r="H21" s="55" t="str">
        <x:v>tax.case.reviewed</x:v>
      </x:c>
      <x:c r="I21" s="55" t="str">
        <x:v>ST-027, ST-028</x:v>
      </x:c>
      <x:c r="J21" s="55" t="str">
        <x:v>T-TAX-004</x:v>
      </x:c>
      <x:c r="K21" s="55" t="str">
        <x:v>Especialista / Fernando</x:v>
      </x:c>
      <x:c r="L21" s="55" t="str">
        <x:v>P0</x:v>
      </x:c>
      <x:c r="M21" s="55" t="str">
        <x:v>Somente especialista autorizado valida ou rejeita sinal</x:v>
      </x:c>
      <x:c r="N21" s="61" t="str">
        <x:v>Planejado</x:v>
      </x:c>
    </x:row>
    <x:row r="22" ht="26.399999618530273" hidden="0" customHeight="1">
      <x:c r="A22" s="60" t="str">
        <x:v>REQ-020</x:v>
      </x:c>
      <x:c r="B22" s="55" t="str">
        <x:v>Auditoria</x:v>
      </x:c>
      <x:c r="C22" s="55" t="str">
        <x:v>Trilha append-only para ações críticas</x:v>
      </x:c>
      <x:c r="D22" s="55" t="str">
        <x:v>M0 - 5 dias</x:v>
      </x:c>
      <x:c r="E22" s="55" t="str">
        <x:v>Auditoria</x:v>
      </x:c>
      <x:c r="F22" s="55" t="str">
        <x:v>audit_event</x:v>
      </x:c>
      <x:c r="G22" s="55" t="str">
        <x:v>GET /v1/admin/audit</x:v>
      </x:c>
      <x:c r="H22" s="55" t="str">
        <x:v>audit.event.created</x:v>
      </x:c>
      <x:c r="I22" s="55" t="str">
        <x:v>ST-012</x:v>
      </x:c>
      <x:c r="J22" s="55" t="str">
        <x:v>T-AUD-001</x:v>
      </x:c>
      <x:c r="K22" s="55" t="str">
        <x:v>Fernando</x:v>
      </x:c>
      <x:c r="L22" s="55" t="str">
        <x:v>P0</x:v>
      </x:c>
      <x:c r="M22" s="55" t="str">
        <x:v>Ações críticas registram ator, tenant, ação, data, versão e request id</x:v>
      </x:c>
      <x:c r="N22" s="61" t="str">
        <x:v>Planejado</x:v>
      </x:c>
    </x:row>
    <x:row r="23" ht="15" hidden="0" customHeight="1">
      <x:c r="A23" s="60" t="str">
        <x:v>REQ-021</x:v>
      </x:c>
      <x:c r="B23" s="55" t="str">
        <x:v>Permissões</x:v>
      </x:c>
      <x:c r="C23" s="55" t="str">
        <x:v>RBAC com deny-by-default</x:v>
      </x:c>
      <x:c r="D23" s="55" t="str">
        <x:v>M1 - 30 dias</x:v>
      </x:c>
      <x:c r="E23" s="55" t="str">
        <x:v>Segurança</x:v>
      </x:c>
      <x:c r="F23" s="55" t="str">
        <x:v>role, permission, membership</x:v>
      </x:c>
      <x:c r="G23" s="55" t="str">
        <x:v>GET /v1/me/permissions</x:v>
      </x:c>
      <x:c r="H23" s="55" t="str">
        <x:v>access.denied</x:v>
      </x:c>
      <x:c r="I23" s="55" t="str">
        <x:v>ST-017</x:v>
      </x:c>
      <x:c r="J23" s="55" t="str">
        <x:v>T-SEC-001</x:v>
      </x:c>
      <x:c r="K23" s="55" t="str">
        <x:v>Fernando</x:v>
      </x:c>
      <x:c r="L23" s="55" t="str">
        <x:v>P0</x:v>
      </x:c>
      <x:c r="M23" s="55" t="str">
        <x:v>Permissão inexistente resulta em bloqueio e log</x:v>
      </x:c>
      <x:c r="N23" s="61" t="str">
        <x:v>Planejado</x:v>
      </x:c>
    </x:row>
    <x:row r="24" ht="26.399999618530273" hidden="0" customHeight="1">
      <x:c r="A24" s="60" t="str">
        <x:v>REQ-022</x:v>
      </x:c>
      <x:c r="B24" s="55" t="str">
        <x:v>LGPD</x:v>
      </x:c>
      <x:c r="C24" s="55" t="str">
        <x:v>Retenção, revogação, acesso, correção e exclusão aplicável</x:v>
      </x:c>
      <x:c r="D24" s="55" t="str">
        <x:v>M1 - 30 dias</x:v>
      </x:c>
      <x:c r="E24" s="55" t="str">
        <x:v>Privacidade</x:v>
      </x:c>
      <x:c r="F24" s="55" t="str">
        <x:v>data_request, retention_policy</x:v>
      </x:c>
      <x:c r="G24" s="55" t="str">
        <x:v>POST /v1/privacy/requests</x:v>
      </x:c>
      <x:c r="H24" s="55" t="str">
        <x:v>privacy.requested</x:v>
      </x:c>
      <x:c r="I24" s="55" t="str">
        <x:v>ST-034</x:v>
      </x:c>
      <x:c r="J24" s="55" t="str">
        <x:v>T-LGPD-002</x:v>
      </x:c>
      <x:c r="K24" s="55" t="str">
        <x:v>Lilian / Fernando</x:v>
      </x:c>
      <x:c r="L24" s="55" t="str">
        <x:v>P0</x:v>
      </x:c>
      <x:c r="M24" s="55" t="str">
        <x:v>Solicitação tem SLA, owner, status e trilha</x:v>
      </x:c>
      <x:c r="N24" s="61" t="str">
        <x:v>Planejado</x:v>
      </x:c>
    </x:row>
    <x:row r="25" ht="26.399999618530273" hidden="0" customHeight="1">
      <x:c r="A25" s="60" t="str">
        <x:v>REQ-023</x:v>
      </x:c>
      <x:c r="B25" s="55" t="str">
        <x:v>IA governada</x:v>
      </x:c>
      <x:c r="C25" s="55" t="str">
        <x:v>Contrato de saída, fontes, abstenção e humano no loop</x:v>
      </x:c>
      <x:c r="D25" s="55" t="str">
        <x:v>M1 - 30 dias</x:v>
      </x:c>
      <x:c r="E25" s="55" t="str">
        <x:v>IA</x:v>
      </x:c>
      <x:c r="F25" s="55" t="str">
        <x:v>agent_run, prompt_version, source_ref</x:v>
      </x:c>
      <x:c r="G25" s="55" t="str">
        <x:v>POST /v1/ai/runs</x:v>
      </x:c>
      <x:c r="H25" s="55" t="str">
        <x:v>agent.run.completed</x:v>
      </x:c>
      <x:c r="I25" s="55" t="str">
        <x:v>ST-039</x:v>
      </x:c>
      <x:c r="J25" s="55" t="str">
        <x:v>T-AI-001</x:v>
      </x:c>
      <x:c r="K25" s="55" t="str">
        <x:v>Hudson / Fernando</x:v>
      </x:c>
      <x:c r="L25" s="55" t="str">
        <x:v>P0</x:v>
      </x:c>
      <x:c r="M25" s="55" t="str">
        <x:v>Decisão material sem evidência é bloqueada ou marcada como hipótese</x:v>
      </x:c>
      <x:c r="N25" s="61" t="str">
        <x:v>Planejado</x:v>
      </x:c>
    </x:row>
    <x:row r="26" ht="26.399999618530273" hidden="0" customHeight="1">
      <x:c r="A26" s="60" t="str">
        <x:v>REQ-024</x:v>
      </x:c>
      <x:c r="B26" s="55" t="str">
        <x:v>Evals</x:v>
      </x:c>
      <x:c r="C26" s="55" t="str">
        <x:v>Conjunto de testes de factualidade, risco, segurança e custo</x:v>
      </x:c>
      <x:c r="D26" s="55" t="str">
        <x:v>M1 - 30 dias</x:v>
      </x:c>
      <x:c r="E26" s="55" t="str">
        <x:v>IA/QA</x:v>
      </x:c>
      <x:c r="F26" s="55" t="str">
        <x:v>eval_suite, eval_result</x:v>
      </x:c>
      <x:c r="G26" s="55" t="str">
        <x:v>POST /v1/admin/evals/run</x:v>
      </x:c>
      <x:c r="H26" s="55" t="str">
        <x:v>eval.completed</x:v>
      </x:c>
      <x:c r="I26" s="55" t="str">
        <x:v>ST-039</x:v>
      </x:c>
      <x:c r="J26" s="55" t="str">
        <x:v>T-AI-002</x:v>
      </x:c>
      <x:c r="K26" s="55" t="str">
        <x:v>Fernando</x:v>
      </x:c>
      <x:c r="L26" s="55" t="str">
        <x:v>P0</x:v>
      </x:c>
      <x:c r="M26" s="55" t="str">
        <x:v>Release exige thresholds mínimos definidos no PRD V3</x:v>
      </x:c>
      <x:c r="N26" s="61" t="str">
        <x:v>Planejado</x:v>
      </x:c>
    </x:row>
    <x:row r="27" ht="26.399999618530273" hidden="0" customHeight="1">
      <x:c r="A27" s="60" t="str">
        <x:v>REQ-025</x:v>
      </x:c>
      <x:c r="B27" s="55" t="str">
        <x:v>Notificações</x:v>
      </x:c>
      <x:c r="C27" s="55" t="str">
        <x:v>E-mail/in-app com preferências e opt-out</x:v>
      </x:c>
      <x:c r="D27" s="55" t="str">
        <x:v>M1 - 30 dias</x:v>
      </x:c>
      <x:c r="E27" s="55" t="str">
        <x:v>Comunicação</x:v>
      </x:c>
      <x:c r="F27" s="55" t="str">
        <x:v>notification, preference</x:v>
      </x:c>
      <x:c r="G27" s="55" t="str">
        <x:v>POST /v1/notifications</x:v>
      </x:c>
      <x:c r="H27" s="55" t="str">
        <x:v>notification.sent</x:v>
      </x:c>
      <x:c r="I27" s="55" t="str">
        <x:v>ST-031</x:v>
      </x:c>
      <x:c r="J27" s="55" t="str">
        <x:v>T-NOT-001</x:v>
      </x:c>
      <x:c r="K27" s="55" t="str">
        <x:v>Fernando</x:v>
      </x:c>
      <x:c r="L27" s="55" t="str">
        <x:v>P1</x:v>
      </x:c>
      <x:c r="M27" s="55" t="str">
        <x:v>Usuário recebe lembrete sem duplicidade e pode desativar canais</x:v>
      </x:c>
      <x:c r="N27" s="61" t="str">
        <x:v>Planejado</x:v>
      </x:c>
    </x:row>
    <x:row r="28" ht="15" hidden="0" customHeight="1">
      <x:c r="A28" s="60" t="str">
        <x:v>REQ-026</x:v>
      </x:c>
      <x:c r="B28" s="55" t="str">
        <x:v>Administração</x:v>
      </x:c>
      <x:c r="C28" s="55" t="str">
        <x:v>Painel de regras, versões, parceiros e feature flags</x:v>
      </x:c>
      <x:c r="D28" s="55" t="str">
        <x:v>M1 - 30 dias</x:v>
      </x:c>
      <x:c r="E28" s="55" t="str">
        <x:v>Admin</x:v>
      </x:c>
      <x:c r="F28" s="55" t="str">
        <x:v>feature_flag, rule_version, partner</x:v>
      </x:c>
      <x:c r="G28" s="55" t="str">
        <x:v>/v1/admin/*</x:v>
      </x:c>
      <x:c r="H28" s="55" t="str">
        <x:v>admin.change.applied</x:v>
      </x:c>
      <x:c r="I28" s="55" t="str">
        <x:v>ST-032</x:v>
      </x:c>
      <x:c r="J28" s="55" t="str">
        <x:v>T-ADM-001</x:v>
      </x:c>
      <x:c r="K28" s="55" t="str">
        <x:v>Fernando</x:v>
      </x:c>
      <x:c r="L28" s="55" t="str">
        <x:v>P0</x:v>
      </x:c>
      <x:c r="M28" s="55" t="str">
        <x:v>Toda alteração administrativa é versionada e auditada</x:v>
      </x:c>
      <x:c r="N28" s="61" t="str">
        <x:v>Planejado</x:v>
      </x:c>
    </x:row>
    <x:row r="29" ht="26.399999618530273" hidden="0" customHeight="1">
      <x:c r="A29" s="60" t="str">
        <x:v>REQ-027</x:v>
      </x:c>
      <x:c r="B29" s="55" t="str">
        <x:v>Observabilidade</x:v>
      </x:c>
      <x:c r="C29" s="55" t="str">
        <x:v>Logs, erros, métricas de produto e custo</x:v>
      </x:c>
      <x:c r="D29" s="55" t="str">
        <x:v>M1 - 30 dias</x:v>
      </x:c>
      <x:c r="E29" s="55" t="str">
        <x:v>Operação</x:v>
      </x:c>
      <x:c r="F29" s="55" t="str">
        <x:v>telemetry_event, cost_record</x:v>
      </x:c>
      <x:c r="G29" s="55" t="str">
        <x:v>GET /v1/admin/metrics</x:v>
      </x:c>
      <x:c r="H29" s="55" t="str">
        <x:v>alert.triggered</x:v>
      </x:c>
      <x:c r="I29" s="55" t="str">
        <x:v>ST-033</x:v>
      </x:c>
      <x:c r="J29" s="55" t="str">
        <x:v>T-OPS-001</x:v>
      </x:c>
      <x:c r="K29" s="55" t="str">
        <x:v>Fernando</x:v>
      </x:c>
      <x:c r="L29" s="55" t="str">
        <x:v>P0</x:v>
      </x:c>
      <x:c r="M29" s="55" t="str">
        <x:v>Falhas críticas geram alerta e possuem correlação por request id</x:v>
      </x:c>
      <x:c r="N29" s="61" t="str">
        <x:v>Planejado</x:v>
      </x:c>
    </x:row>
    <x:row r="30" ht="26.399999618530273" hidden="0" customHeight="1">
      <x:c r="A30" s="60" t="str">
        <x:v>REQ-028</x:v>
      </x:c>
      <x:c r="B30" s="55" t="str">
        <x:v>Resiliência</x:v>
      </x:c>
      <x:c r="C30" s="55" t="str">
        <x:v>Backup, restauração, rollback e runbooks</x:v>
      </x:c>
      <x:c r="D30" s="55" t="str">
        <x:v>M1 - 30 dias</x:v>
      </x:c>
      <x:c r="E30" s="55" t="str">
        <x:v>Operação</x:v>
      </x:c>
      <x:c r="F30" s="55" t="str">
        <x:v>backup_record, incident</x:v>
      </x:c>
      <x:c r="G30" s="55" t="str">
        <x:v>POST /v1/admin/restore-tests</x:v>
      </x:c>
      <x:c r="H30" s="55" t="str">
        <x:v>backup.restored</x:v>
      </x:c>
      <x:c r="I30" s="55" t="str">
        <x:v>ST-035</x:v>
      </x:c>
      <x:c r="J30" s="55" t="str">
        <x:v>T-OPS-002</x:v>
      </x:c>
      <x:c r="K30" s="55" t="str">
        <x:v>Fernando</x:v>
      </x:c>
      <x:c r="L30" s="55" t="str">
        <x:v>P0</x:v>
      </x:c>
      <x:c r="M30" s="55" t="str">
        <x:v>Teste de restauração documentado antes do piloto ampliado</x:v>
      </x:c>
      <x:c r="N30" s="61" t="str">
        <x:v>Planejado</x:v>
      </x:c>
    </x:row>
    <x:row r="31" ht="15" hidden="0" customHeight="1">
      <x:c r="A31" s="60" t="str">
        <x:v>REQ-029</x:v>
      </x:c>
      <x:c r="B31" s="55" t="str">
        <x:v>Piloto</x:v>
      </x:c>
      <x:c r="C31" s="55" t="str">
        <x:v>Telemetria do funil e critérios de go/no-go</x:v>
      </x:c>
      <x:c r="D31" s="55" t="str">
        <x:v>M1 - 30 dias</x:v>
      </x:c>
      <x:c r="E31" s="55" t="str">
        <x:v>Analytics</x:v>
      </x:c>
      <x:c r="F31" s="55" t="str">
        <x:v>pilot_cohort, product_event</x:v>
      </x:c>
      <x:c r="G31" s="55" t="str">
        <x:v>GET /v1/analytics/pilot</x:v>
      </x:c>
      <x:c r="H31" s="55" t="str">
        <x:v>pilot.gate.evaluated</x:v>
      </x:c>
      <x:c r="I31" s="55" t="str">
        <x:v>ST-037, ST-038</x:v>
      </x:c>
      <x:c r="J31" s="55" t="str">
        <x:v>T-PIL-001</x:v>
      </x:c>
      <x:c r="K31" s="55" t="str">
        <x:v>Hudson / Tatyanne</x:v>
      </x:c>
      <x:c r="L31" s="55" t="str">
        <x:v>P0</x:v>
      </x:c>
      <x:c r="M31" s="55" t="str">
        <x:v>Cada onda só avança após gate objetivo</x:v>
      </x:c>
      <x:c r="N31" s="61" t="str">
        <x:v>Planejado</x:v>
      </x:c>
    </x:row>
    <x:row r="32" ht="26.399999618530273" hidden="0" customHeight="1">
      <x:c r="A32" s="60" t="str">
        <x:v>REQ-030</x:v>
      </x:c>
      <x:c r="B32" s="55" t="str">
        <x:v>Planos</x:v>
      </x:c>
      <x:c r="C32" s="55" t="str">
        <x:v>Catálogo Bronze, Prata, Ouro, Platinum sem compra de reputação</x:v>
      </x:c>
      <x:c r="D32" s="55" t="str">
        <x:v>V1 Starter - 45 dias</x:v>
      </x:c>
      <x:c r="E32" s="55" t="str">
        <x:v>Comercial</x:v>
      </x:c>
      <x:c r="F32" s="55" t="str">
        <x:v>plan, entitlement</x:v>
      </x:c>
      <x:c r="G32" s="55" t="str">
        <x:v>GET /v1/plans</x:v>
      </x:c>
      <x:c r="H32" s="55" t="str">
        <x:v>plan.changed</x:v>
      </x:c>
      <x:c r="I32" s="55" t="str">
        <x:v>ST-041</x:v>
      </x:c>
      <x:c r="J32" s="55" t="str">
        <x:v>T-PLAN-001</x:v>
      </x:c>
      <x:c r="K32" s="55" t="str">
        <x:v>Hudson / Lilian</x:v>
      </x:c>
      <x:c r="L32" s="55" t="str">
        <x:v>P1</x:v>
      </x:c>
      <x:c r="M32" s="55" t="str">
        <x:v>Plano altera recursos, nunca score orgânico de recomendação</x:v>
      </x:c>
      <x:c r="N32" s="61" t="str">
        <x:v>Planejado</x:v>
      </x:c>
    </x:row>
    <x:row r="33" ht="26.399999618530273" hidden="0" customHeight="1">
      <x:c r="A33" s="60" t="str">
        <x:v>REQ-031</x:v>
      </x:c>
      <x:c r="B33" s="55" t="str">
        <x:v>Bronze contínuo</x:v>
      </x:c>
      <x:c r="C33" s="55" t="str">
        <x:v>Bronze inclui ciclo essencial de 30 dias</x:v>
      </x:c>
      <x:c r="D33" s="55" t="str">
        <x:v>V1 Starter - 45 dias</x:v>
      </x:c>
      <x:c r="E33" s="55" t="str">
        <x:v>Produto</x:v>
      </x:c>
      <x:c r="F33" s="55" t="str">
        <x:v>entitlement, cycle</x:v>
      </x:c>
      <x:c r="G33" s="55" t="str">
        <x:v>POST /v1/cycles</x:v>
      </x:c>
      <x:c r="H33" s="55" t="str">
        <x:v>cycle.started</x:v>
      </x:c>
      <x:c r="I33" s="55" t="str">
        <x:v>ST-042</x:v>
      </x:c>
      <x:c r="J33" s="55" t="str">
        <x:v>T-PLAN-002</x:v>
      </x:c>
      <x:c r="K33" s="55" t="str">
        <x:v>Hudson</x:v>
      </x:c>
      <x:c r="L33" s="55" t="str">
        <x:v>P1</x:v>
      </x:c>
      <x:c r="M33" s="55" t="str">
        <x:v>Cliente Bronze recebe ao menos decisão, missão e check-in do ciclo inicial</x:v>
      </x:c>
      <x:c r="N33" s="61" t="str">
        <x:v>Planejado</x:v>
      </x:c>
    </x:row>
    <x:row r="34" ht="26.399999618530273" hidden="0" customHeight="1">
      <x:c r="A34" s="60" t="str">
        <x:v>REQ-032</x:v>
      </x:c>
      <x:c r="B34" s="55" t="str">
        <x:v>Atribuição</x:v>
      </x:c>
      <x:c r="C34" s="55" t="str">
        <x:v>Rastreio de referral, aceite, contato, proposta e fechamento</x:v>
      </x:c>
      <x:c r="D34" s="55" t="str">
        <x:v>V1 Starter - 45 dias</x:v>
      </x:c>
      <x:c r="E34" s="55" t="str">
        <x:v>Oportunidades</x:v>
      </x:c>
      <x:c r="F34" s="55" t="str">
        <x:v>referral, attribution_event</x:v>
      </x:c>
      <x:c r="G34" s="55" t="str">
        <x:v>POST /v1/referrals/{id}/events</x:v>
      </x:c>
      <x:c r="H34" s="55" t="str">
        <x:v>referral.status.changed</x:v>
      </x:c>
      <x:c r="I34" s="55" t="str">
        <x:v>ST-044</x:v>
      </x:c>
      <x:c r="J34" s="55" t="str">
        <x:v>T-REF-003</x:v>
      </x:c>
      <x:c r="K34" s="55" t="str">
        <x:v>Tatyanne / Fernando</x:v>
      </x:c>
      <x:c r="L34" s="55" t="str">
        <x:v>P1</x:v>
      </x:c>
      <x:c r="M34" s="55" t="str">
        <x:v>Origem e estágio são auditáveis; fee depende de contrato</x:v>
      </x:c>
      <x:c r="N34" s="61" t="str">
        <x:v>Planejado</x:v>
      </x:c>
    </x:row>
    <x:row r="35" ht="26.399999618530273" hidden="0" customHeight="1">
      <x:c r="A35" s="60" t="str">
        <x:v>REQ-033</x:v>
      </x:c>
      <x:c r="B35" s="55" t="str">
        <x:v>Parceiros</x:v>
      </x:c>
      <x:c r="C35" s="55" t="str">
        <x:v>Homologação, SLA, conflito e suspensão</x:v>
      </x:c>
      <x:c r="D35" s="55" t="str">
        <x:v>V1 Starter - 45 dias</x:v>
      </x:c>
      <x:c r="E35" s="55" t="str">
        <x:v>Parceiros</x:v>
      </x:c>
      <x:c r="F35" s="55" t="str">
        <x:v>partner_contract, partner_review</x:v>
      </x:c>
      <x:c r="G35" s="55" t="str">
        <x:v>POST /v1/admin/partners/{id}/approve</x:v>
      </x:c>
      <x:c r="H35" s="55" t="str">
        <x:v>partner.approved</x:v>
      </x:c>
      <x:c r="I35" s="55" t="str">
        <x:v>ST-043</x:v>
      </x:c>
      <x:c r="J35" s="55" t="str">
        <x:v>T-PAR-001</x:v>
      </x:c>
      <x:c r="K35" s="55" t="str">
        <x:v>Tatyanne / Lilian</x:v>
      </x:c>
      <x:c r="L35" s="55" t="str">
        <x:v>P1</x:v>
      </x:c>
      <x:c r="M35" s="55" t="str">
        <x:v>Parceiro não fica ativo sem contrato, owner e critérios mínimos</x:v>
      </x:c>
      <x:c r="N35" s="61" t="str">
        <x:v>Planejado</x:v>
      </x:c>
    </x:row>
    <x:row r="36" ht="26.399999618530273" hidden="0" customHeight="1">
      <x:c r="A36" s="60" t="str">
        <x:v>REQ-034</x:v>
      </x:c>
      <x:c r="B36" s="55" t="str">
        <x:v>Marketplace fechado</x:v>
      </x:c>
      <x:c r="C36" s="55" t="str">
        <x:v>Catálogo básico somente com parceiros homologados</x:v>
      </x:c>
      <x:c r="D36" s="55" t="str">
        <x:v>V1 Starter - 45 dias</x:v>
      </x:c>
      <x:c r="E36" s="55" t="str">
        <x:v>Marketplace</x:v>
      </x:c>
      <x:c r="F36" s="55" t="str">
        <x:v>service, partner</x:v>
      </x:c>
      <x:c r="G36" s="55" t="str">
        <x:v>GET /v1/partners</x:v>
      </x:c>
      <x:c r="H36" s="55" t="str">
        <x:v>partner.listed</x:v>
      </x:c>
      <x:c r="I36" s="55" t="str">
        <x:v>ST-045</x:v>
      </x:c>
      <x:c r="J36" s="55" t="str">
        <x:v>T-MKT-001</x:v>
      </x:c>
      <x:c r="K36" s="55" t="str">
        <x:v>Tatyanne / Fernando</x:v>
      </x:c>
      <x:c r="L36" s="55" t="str">
        <x:v>P1</x:v>
      </x:c>
      <x:c r="M36" s="55" t="str">
        <x:v>Não existe ranking público nem marketplace aberto no Starter</x:v>
      </x:c>
      <x:c r="N36" s="61" t="str">
        <x:v>Planejado</x:v>
      </x:c>
    </x:row>
    <x:row r="37" ht="26.399999618530273" hidden="0" customHeight="1">
      <x:c r="A37" s="60" t="str">
        <x:v>REQ-035</x:v>
      </x:c>
      <x:c r="B37" s="55" t="str">
        <x:v>Ranking íntegro</x:v>
      </x:c>
      <x:c r="C37" s="55" t="str">
        <x:v>Ranking orgânico exclui plano e patrocínio</x:v>
      </x:c>
      <x:c r="D37" s="55" t="str">
        <x:v>V1 Starter - 45 dias</x:v>
      </x:c>
      <x:c r="E37" s="55" t="str">
        <x:v>Integridade</x:v>
      </x:c>
      <x:c r="F37" s="55" t="str">
        <x:v>match_score</x:v>
      </x:c>
      <x:c r="G37" s="55" t="str">
        <x:v>GET /v1/opportunities/{id}/matches</x:v>
      </x:c>
      <x:c r="H37" s="55" t="str">
        <x:v>partner.matched</x:v>
      </x:c>
      <x:c r="I37" s="55" t="str">
        <x:v>ST-045</x:v>
      </x:c>
      <x:c r="J37" s="55" t="str">
        <x:v>T-RANK-001</x:v>
      </x:c>
      <x:c r="K37" s="55" t="str">
        <x:v>Hudson / Tatyanne</x:v>
      </x:c>
      <x:c r="L37" s="55" t="str">
        <x:v>P0</x:v>
      </x:c>
      <x:c r="M37" s="55" t="str">
        <x:v>Score usa fit, reputação, capacidade, SLA, risco e contexto; patrocínio é separado</x:v>
      </x:c>
      <x:c r="N37" s="61" t="str">
        <x:v>Planejado</x:v>
      </x:c>
    </x:row>
    <x:row r="38" ht="26.399999618530273" hidden="0" customHeight="1">
      <x:c r="A38" s="60" t="str">
        <x:v>REQ-036</x:v>
      </x:c>
      <x:c r="B38" s="55" t="str">
        <x:v>Relatórios</x:v>
      </x:c>
      <x:c r="C38" s="55" t="str">
        <x:v>Exportação de diagnóstico, decisão, missão e encaminhamento</x:v>
      </x:c>
      <x:c r="D38" s="55" t="str">
        <x:v>V1 Starter - 45 dias</x:v>
      </x:c>
      <x:c r="E38" s="55" t="str">
        <x:v>Relatórios</x:v>
      </x:c>
      <x:c r="F38" s="55" t="str">
        <x:v>report, export_job</x:v>
      </x:c>
      <x:c r="G38" s="55" t="str">
        <x:v>POST /v1/reports</x:v>
      </x:c>
      <x:c r="H38" s="55" t="str">
        <x:v>report.generated</x:v>
      </x:c>
      <x:c r="I38" s="55" t="str">
        <x:v>ST-046</x:v>
      </x:c>
      <x:c r="J38" s="55" t="str">
        <x:v>T-REP-001</x:v>
      </x:c>
      <x:c r="K38" s="55" t="str">
        <x:v>Fernando</x:v>
      </x:c>
      <x:c r="L38" s="55" t="str">
        <x:v>P1</x:v>
      </x:c>
      <x:c r="M38" s="55" t="str">
        <x:v>Relatório identifica fatos, hipóteses, fontes e disclaimers</x:v>
      </x:c>
      <x:c r="N38" s="61" t="str">
        <x:v>Planejado</x:v>
      </x:c>
    </x:row>
    <x:row r="39" ht="15" hidden="0" customHeight="1">
      <x:c r="A39" s="60" t="str">
        <x:v>REQ-037</x:v>
      </x:c>
      <x:c r="B39" s="55" t="str">
        <x:v>Suporte</x:v>
      </x:c>
      <x:c r="C39" s="55" t="str">
        <x:v>Canal de suporte, incidentes e base de ajuda</x:v>
      </x:c>
      <x:c r="D39" s="55" t="str">
        <x:v>V1 Starter - 45 dias</x:v>
      </x:c>
      <x:c r="E39" s="55" t="str">
        <x:v>Suporte</x:v>
      </x:c>
      <x:c r="F39" s="55" t="str">
        <x:v>support_ticket, knowledge_article</x:v>
      </x:c>
      <x:c r="G39" s="55" t="str">
        <x:v>POST /v1/support/tickets</x:v>
      </x:c>
      <x:c r="H39" s="55" t="str">
        <x:v>support.ticket.created</x:v>
      </x:c>
      <x:c r="I39" s="55" t="str">
        <x:v>ST-047</x:v>
      </x:c>
      <x:c r="J39" s="55" t="str">
        <x:v>T-SUP-001</x:v>
      </x:c>
      <x:c r="K39" s="55" t="str">
        <x:v>Lilian / Fernando</x:v>
      </x:c>
      <x:c r="L39" s="55" t="str">
        <x:v>P1</x:v>
      </x:c>
      <x:c r="M39" s="55" t="str">
        <x:v>Usuário recebe protocolo, prioridade e SLA</x:v>
      </x:c>
      <x:c r="N39" s="61" t="str">
        <x:v>Planejado</x:v>
      </x:c>
    </x:row>
    <x:row r="40" ht="26.399999618530273" hidden="0" customHeight="1">
      <x:c r="A40" s="62" t="str">
        <x:v>REQ-038</x:v>
      </x:c>
      <x:c r="B40" s="63" t="str">
        <x:v>Analytics comercial</x:v>
      </x:c>
      <x:c r="C40" s="63" t="str">
        <x:v>Ativação, retenção, referrals, custo e conversão</x:v>
      </x:c>
      <x:c r="D40" s="63" t="str">
        <x:v>V1 Starter - 45 dias</x:v>
      </x:c>
      <x:c r="E40" s="63" t="str">
        <x:v>Analytics</x:v>
      </x:c>
      <x:c r="F40" s="63" t="str">
        <x:v>metric_snapshot</x:v>
      </x:c>
      <x:c r="G40" s="63" t="str">
        <x:v>GET /v1/analytics/commercial</x:v>
      </x:c>
      <x:c r="H40" s="63" t="str">
        <x:v>metric.snapshot.created</x:v>
      </x:c>
      <x:c r="I40" s="63" t="str">
        <x:v>ST-048, ST-055</x:v>
      </x:c>
      <x:c r="J40" s="63" t="str">
        <x:v>T-ANA-001</x:v>
      </x:c>
      <x:c r="K40" s="63" t="str">
        <x:v>Hudson / Tatyanne / Lilian</x:v>
      </x:c>
      <x:c r="L40" s="63" t="str">
        <x:v>P1</x:v>
      </x:c>
      <x:c r="M40" s="63" t="str">
        <x:v>Dashboard separa receita contratada, projetada e hipótese</x:v>
      </x:c>
      <x:c r="N40" s="64" t="str">
        <x:v>Planejado</x:v>
      </x:c>
    </x:row>
  </x:sheetData>
  <x:mergeCells>
    <x:mergeCell ref="A1:N1"/>
  </x:mergeCells>
  <x:dataValidations count="2">
    <x:dataValidation type="list" sqref="L3:L200">
      <x:formula1>"P0,P1,P2"</x:formula1>
    </x:dataValidation>
    <x:dataValidation type="list" sqref="N3:N200">
      <x:formula1>"Planejado,Em andamento,Bloqueado,Concluído"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b42d223e624f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0" hidden="0" customWidth="1"/>
    <x:col min="4" max="4" width="16" hidden="0" customWidth="1"/>
    <x:col min="5" max="5" width="12" hidden="0" customWidth="1"/>
    <x:col min="6" max="6" width="42" hidden="0" customWidth="1"/>
    <x:col min="7" max="7" width="26" hidden="0" customWidth="1"/>
    <x:col min="8" max="8" width="22" hidden="0" customWidth="1"/>
    <x:col min="9" max="9" width="22" hidden="0" customWidth="1"/>
    <x:col min="10" max="10" width="12" hidden="0" customWidth="1"/>
    <x:col min="11" max="11" width="42" hidden="0" customWidth="1"/>
    <x:col min="12" max="12" width="24" hidden="0" customWidth="1"/>
    <x:col min="13" max="13" width="14" hidden="0" customWidth="1"/>
  </x:cols>
  <x:sheetData>
    <x:row r="1" ht="19.200000762939453" hidden="0" customHeight="1">
      <x:c r="A1" s="5" t="str">
        <x:v>Backlog sprint-ready — 5, 30 e 45 dias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15" hidden="0" customHeight="1">
      <x:c r="A2" s="57" t="str">
        <x:v>ID</x:v>
      </x:c>
      <x:c r="B2" s="58" t="str">
        <x:v>Épico</x:v>
      </x:c>
      <x:c r="C2" s="58" t="str">
        <x:v>Milestone</x:v>
      </x:c>
      <x:c r="D2" s="58" t="str">
        <x:v>Janela</x:v>
      </x:c>
      <x:c r="E2" s="58" t="str">
        <x:v>Prioridade</x:v>
      </x:c>
      <x:c r="F2" s="58" t="str">
        <x:v>História</x:v>
      </x:c>
      <x:c r="G2" s="58" t="str">
        <x:v>Owner</x:v>
      </x:c>
      <x:c r="H2" s="58" t="str">
        <x:v>Requisitos</x:v>
      </x:c>
      <x:c r="I2" s="58" t="str">
        <x:v>Dependências</x:v>
      </x:c>
      <x:c r="J2" s="58" t="str">
        <x:v>Estimativa</x:v>
      </x:c>
      <x:c r="K2" s="58" t="str">
        <x:v>Aceite</x:v>
      </x:c>
      <x:c r="L2" s="58" t="str">
        <x:v>Testes</x:v>
      </x:c>
      <x:c r="M2" s="59" t="str">
        <x:v>Status</x:v>
      </x:c>
    </x:row>
    <x:row r="3" ht="26.399999618530273" hidden="0" customHeight="1">
      <x:c r="A3" s="60" t="str">
        <x:v>ST-001</x:v>
      </x:c>
      <x:c r="B3" s="55" t="str">
        <x:v>EP-00 Governança</x:v>
      </x:c>
      <x:c r="C3" s="55" t="str">
        <x:v>M0 - 5 dias</x:v>
      </x:c>
      <x:c r="D3" s="55" t="str">
        <x:v>Dia 1</x:v>
      </x:c>
      <x:c r="E3" s="55" t="str">
        <x:v>P0</x:v>
      </x:c>
      <x:c r="F3" s="55" t="str">
        <x:v>Criar baseline V3, registro de versões e pasta de documentação</x:v>
      </x:c>
      <x:c r="G3" s="55" t="str">
        <x:v>Hudson / Fernando</x:v>
      </x:c>
      <x:c r="H3" s="55" t="str">
        <x:v>REQ-001</x:v>
      </x:c>
      <x:c r="I3" s="55" t="str"/>
      <x:c r="J3" s="55" t="str">
        <x:v>4h</x:v>
      </x:c>
      <x:c r="K3" s="55" t="str">
        <x:v>Documento V3 aprovado; arquivos antigos marcados como superados</x:v>
      </x:c>
      <x:c r="L3" s="55" t="str">
        <x:v>T-DOC-001</x:v>
      </x:c>
      <x:c r="M3" s="61" t="str">
        <x:v>Planejado</x:v>
      </x:c>
    </x:row>
    <x:row r="4" ht="15" hidden="0" customHeight="1">
      <x:c r="A4" s="60" t="str">
        <x:v>ST-002</x:v>
      </x:c>
      <x:c r="B4" s="55" t="str">
        <x:v>EP-01 Fundação</x:v>
      </x:c>
      <x:c r="C4" s="55" t="str">
        <x:v>M0 - 5 dias</x:v>
      </x:c>
      <x:c r="D4" s="55" t="str">
        <x:v>Dia 1</x:v>
      </x:c>
      <x:c r="E4" s="55" t="str">
        <x:v>P0</x:v>
      </x:c>
      <x:c r="F4" s="55" t="str">
        <x:v>Inicializar repositório, ambientes e pipeline mínimo</x:v>
      </x:c>
      <x:c r="G4" s="55" t="str">
        <x:v>Fernando</x:v>
      </x:c>
      <x:c r="H4" s="55" t="str">
        <x:v>REQ-001</x:v>
      </x:c>
      <x:c r="I4" s="55" t="str">
        <x:v>ST-001</x:v>
      </x:c>
      <x:c r="J4" s="55" t="str">
        <x:v>4h</x:v>
      </x:c>
      <x:c r="K4" s="55" t="str">
        <x:v>Build e deploy de preview funcionam</x:v>
      </x:c>
      <x:c r="L4" s="55" t="str">
        <x:v>T-DEV-001</x:v>
      </x:c>
      <x:c r="M4" s="61" t="str">
        <x:v>Planejado</x:v>
      </x:c>
    </x:row>
    <x:row r="5" ht="15" hidden="0" customHeight="1">
      <x:c r="A5" s="60" t="str">
        <x:v>ST-003</x:v>
      </x:c>
      <x:c r="B5" s="55" t="str">
        <x:v>EP-01 Fundação</x:v>
      </x:c>
      <x:c r="C5" s="55" t="str">
        <x:v>M0 - 5 dias</x:v>
      </x:c>
      <x:c r="D5" s="55" t="str">
        <x:v>Dia 1</x:v>
      </x:c>
      <x:c r="E5" s="55" t="str">
        <x:v>P0</x:v>
      </x:c>
      <x:c r="F5" s="55" t="str">
        <x:v>Implementar login demo e sessão</x:v>
      </x:c>
      <x:c r="G5" s="55" t="str">
        <x:v>Fernando</x:v>
      </x:c>
      <x:c r="H5" s="55" t="str">
        <x:v>REQ-002</x:v>
      </x:c>
      <x:c r="I5" s="55" t="str">
        <x:v>ST-002</x:v>
      </x:c>
      <x:c r="J5" s="55" t="str">
        <x:v>5h</x:v>
      </x:c>
      <x:c r="K5" s="55" t="str">
        <x:v>Login/logout e rota protegida funcionam</x:v>
      </x:c>
      <x:c r="L5" s="55" t="str">
        <x:v>T-AUTH-001</x:v>
      </x:c>
      <x:c r="M5" s="61" t="str">
        <x:v>Planejado</x:v>
      </x:c>
    </x:row>
    <x:row r="6" ht="15" hidden="0" customHeight="1">
      <x:c r="A6" s="60" t="str">
        <x:v>ST-004</x:v>
      </x:c>
      <x:c r="B6" s="55" t="str">
        <x:v>EP-02 Empresa</x:v>
      </x:c>
      <x:c r="C6" s="55" t="str">
        <x:v>M0 - 5 dias</x:v>
      </x:c>
      <x:c r="D6" s="55" t="str">
        <x:v>Dia 1</x:v>
      </x:c>
      <x:c r="E6" s="55" t="str">
        <x:v>P0</x:v>
      </x:c>
      <x:c r="F6" s="55" t="str">
        <x:v>Cadastrar empresa e perfil essencial</x:v>
      </x:c>
      <x:c r="G6" s="55" t="str">
        <x:v>Fernando</x:v>
      </x:c>
      <x:c r="H6" s="55" t="str">
        <x:v>REQ-005</x:v>
      </x:c>
      <x:c r="I6" s="55" t="str">
        <x:v>ST-003</x:v>
      </x:c>
      <x:c r="J6" s="55" t="str">
        <x:v>4h</x:v>
      </x:c>
      <x:c r="K6" s="55" t="str">
        <x:v>Empresa criada e associada ao usuário</x:v>
      </x:c>
      <x:c r="L6" s="55" t="str">
        <x:v>T-COMP-001</x:v>
      </x:c>
      <x:c r="M6" s="61" t="str">
        <x:v>Planejado</x:v>
      </x:c>
    </x:row>
    <x:row r="7" ht="26.399999618530273" hidden="0" customHeight="1">
      <x:c r="A7" s="60" t="str">
        <x:v>ST-005</x:v>
      </x:c>
      <x:c r="B7" s="55" t="str">
        <x:v>EP-03 Privacidade</x:v>
      </x:c>
      <x:c r="C7" s="55" t="str">
        <x:v>M0 - 5 dias</x:v>
      </x:c>
      <x:c r="D7" s="55" t="str">
        <x:v>Dia 2</x:v>
      </x:c>
      <x:c r="E7" s="55" t="str">
        <x:v>P0</x:v>
      </x:c>
      <x:c r="F7" s="55" t="str">
        <x:v>Implementar consentimentos e compartilhamento com parceiro</x:v>
      </x:c>
      <x:c r="G7" s="55" t="str">
        <x:v>Lilian / Fernando</x:v>
      </x:c>
      <x:c r="H7" s="55" t="str">
        <x:v>REQ-004</x:v>
      </x:c>
      <x:c r="I7" s="55" t="str">
        <x:v>ST-004</x:v>
      </x:c>
      <x:c r="J7" s="55" t="str">
        <x:v>4h</x:v>
      </x:c>
      <x:c r="K7" s="55" t="str">
        <x:v>Consentimento obrigatório, versionado e revogável</x:v>
      </x:c>
      <x:c r="L7" s="55" t="str">
        <x:v>T-LGPD-001</x:v>
      </x:c>
      <x:c r="M7" s="61" t="str">
        <x:v>Planejado</x:v>
      </x:c>
    </x:row>
    <x:row r="8" ht="15" hidden="0" customHeight="1">
      <x:c r="A8" s="60" t="str">
        <x:v>ST-006</x:v>
      </x:c>
      <x:c r="B8" s="55" t="str">
        <x:v>EP-04 Diagnóstico</x:v>
      </x:c>
      <x:c r="C8" s="55" t="str">
        <x:v>M0 - 5 dias</x:v>
      </x:c>
      <x:c r="D8" s="55" t="str">
        <x:v>Dia 2</x:v>
      </x:c>
      <x:c r="E8" s="55" t="str">
        <x:v>P0</x:v>
      </x:c>
      <x:c r="F8" s="55" t="str">
        <x:v>Criar diagnóstico essencial de 12-20 perguntas</x:v>
      </x:c>
      <x:c r="G8" s="55" t="str">
        <x:v>Hudson / Fernando</x:v>
      </x:c>
      <x:c r="H8" s="55" t="str">
        <x:v>REQ-006</x:v>
      </x:c>
      <x:c r="I8" s="55" t="str">
        <x:v>ST-004</x:v>
      </x:c>
      <x:c r="J8" s="55" t="str">
        <x:v>8h</x:v>
      </x:c>
      <x:c r="K8" s="55" t="str">
        <x:v>Conclusão em até 15 min; respostas persistidas</x:v>
      </x:c>
      <x:c r="L8" s="55" t="str">
        <x:v>T-DIAG-001</x:v>
      </x:c>
      <x:c r="M8" s="61" t="str">
        <x:v>Planejado</x:v>
      </x:c>
    </x:row>
    <x:row r="9" ht="15" hidden="0" customHeight="1">
      <x:c r="A9" s="60" t="str">
        <x:v>ST-007</x:v>
      </x:c>
      <x:c r="B9" s="55" t="str">
        <x:v>EP-05 Scoring</x:v>
      </x:c>
      <x:c r="C9" s="55" t="str">
        <x:v>M0 - 5 dias</x:v>
      </x:c>
      <x:c r="D9" s="55" t="str">
        <x:v>Dia 2</x:v>
      </x:c>
      <x:c r="E9" s="55" t="str">
        <x:v>P0</x:v>
      </x:c>
      <x:c r="F9" s="55" t="str">
        <x:v>Criar score determinístico e explicação</x:v>
      </x:c>
      <x:c r="G9" s="55" t="str">
        <x:v>Hudson / Fernando</x:v>
      </x:c>
      <x:c r="H9" s="55" t="str">
        <x:v>REQ-007</x:v>
      </x:c>
      <x:c r="I9" s="55" t="str">
        <x:v>ST-006</x:v>
      </x:c>
      <x:c r="J9" s="55" t="str">
        <x:v>6h</x:v>
      </x:c>
      <x:c r="K9" s="55" t="str">
        <x:v>Score reproduzível e regras versionadas</x:v>
      </x:c>
      <x:c r="L9" s="55" t="str">
        <x:v>T-SCORE-001</x:v>
      </x:c>
      <x:c r="M9" s="61" t="str">
        <x:v>Planejado</x:v>
      </x:c>
    </x:row>
    <x:row r="10" ht="15" hidden="0" customHeight="1">
      <x:c r="A10" s="60" t="str">
        <x:v>ST-008</x:v>
      </x:c>
      <x:c r="B10" s="55" t="str">
        <x:v>EP-06 Decisão</x:v>
      </x:c>
      <x:c r="C10" s="55" t="str">
        <x:v>M0 - 5 dias</x:v>
      </x:c>
      <x:c r="D10" s="55" t="str">
        <x:v>Dia 3</x:v>
      </x:c>
      <x:c r="E10" s="55" t="str">
        <x:v>P0</x:v>
      </x:c>
      <x:c r="F10" s="55" t="str">
        <x:v>Criar dashboard com problema, decisão e próxima ação</x:v>
      </x:c>
      <x:c r="G10" s="55" t="str">
        <x:v>Hudson / Fernando</x:v>
      </x:c>
      <x:c r="H10" s="55" t="str">
        <x:v>REQ-009, REQ-013</x:v>
      </x:c>
      <x:c r="I10" s="55" t="str">
        <x:v>ST-007</x:v>
      </x:c>
      <x:c r="J10" s="55" t="str">
        <x:v>8h</x:v>
      </x:c>
      <x:c r="K10" s="55" t="str">
        <x:v>Uma ação prioritária visível; saída GDS mínima</x:v>
      </x:c>
      <x:c r="L10" s="55" t="str">
        <x:v>T-GDS-001, T-UX-001</x:v>
      </x:c>
      <x:c r="M10" s="61" t="str">
        <x:v>Planejado</x:v>
      </x:c>
    </x:row>
    <x:row r="11" ht="26.399999618530273" hidden="0" customHeight="1">
      <x:c r="A11" s="60" t="str">
        <x:v>ST-009</x:v>
      </x:c>
      <x:c r="B11" s="55" t="str">
        <x:v>EP-07 CTO-Tax</x:v>
      </x:c>
      <x:c r="C11" s="55" t="str">
        <x:v>M0 - 5 dias</x:v>
      </x:c>
      <x:c r="D11" s="55" t="str">
        <x:v>Dia 3</x:v>
      </x:c>
      <x:c r="E11" s="55" t="str">
        <x:v>P0</x:v>
      </x:c>
      <x:c r="F11" s="55" t="str">
        <x:v>Criar Tax Check preliminar configurável</x:v>
      </x:c>
      <x:c r="G11" s="55" t="str">
        <x:v>Especialista / Fernando</x:v>
      </x:c>
      <x:c r="H11" s="55" t="str">
        <x:v>REQ-014</x:v>
      </x:c>
      <x:c r="I11" s="55" t="str">
        <x:v>ST-005</x:v>
      </x:c>
      <x:c r="J11" s="55" t="str">
        <x:v>8h</x:v>
      </x:c>
      <x:c r="K11" s="55" t="str">
        <x:v>Classifica revisão: prioritária, possível ou dados insuficientes</x:v>
      </x:c>
      <x:c r="L11" s="55" t="str">
        <x:v>T-TAX-001</x:v>
      </x:c>
      <x:c r="M11" s="61" t="str">
        <x:v>Planejado</x:v>
      </x:c>
    </x:row>
    <x:row r="12" ht="26.399999618530273" hidden="0" customHeight="1">
      <x:c r="A12" s="60" t="str">
        <x:v>ST-010</x:v>
      </x:c>
      <x:c r="B12" s="55" t="str">
        <x:v>EP-07 CTO-Tax</x:v>
      </x:c>
      <x:c r="C12" s="55" t="str">
        <x:v>M0 - 5 dias</x:v>
      </x:c>
      <x:c r="D12" s="55" t="str">
        <x:v>Dia 3</x:v>
      </x:c>
      <x:c r="E12" s="55" t="str">
        <x:v>P0</x:v>
      </x:c>
      <x:c r="F12" s="55" t="str">
        <x:v>Aplicar linguagem segura e disclosure de patrocínio</x:v>
      </x:c>
      <x:c r="G12" s="55" t="str">
        <x:v>Lilian / Tatyanne / Fernando</x:v>
      </x:c>
      <x:c r="H12" s="55" t="str">
        <x:v>REQ-016, REQ-018</x:v>
      </x:c>
      <x:c r="I12" s="55" t="str">
        <x:v>ST-009</x:v>
      </x:c>
      <x:c r="J12" s="55" t="str">
        <x:v>4h</x:v>
      </x:c>
      <x:c r="K12" s="55" t="str">
        <x:v>Disclaimer aparece antes do resultado e do encaminhamento</x:v>
      </x:c>
      <x:c r="L12" s="55" t="str">
        <x:v>T-TAX-003, T-REF-002</x:v>
      </x:c>
      <x:c r="M12" s="61" t="str">
        <x:v>Planejado</x:v>
      </x:c>
    </x:row>
    <x:row r="13" ht="15" hidden="0" customHeight="1">
      <x:c r="A13" s="60" t="str">
        <x:v>ST-011</x:v>
      </x:c>
      <x:c r="B13" s="55" t="str">
        <x:v>EP-08 Referral</x:v>
      </x:c>
      <x:c r="C13" s="55" t="str">
        <x:v>M0 - 5 dias</x:v>
      </x:c>
      <x:c r="D13" s="55" t="str">
        <x:v>Dia 4</x:v>
      </x:c>
      <x:c r="E13" s="55" t="str">
        <x:v>P0</x:v>
      </x:c>
      <x:c r="F13" s="55" t="str">
        <x:v>Criar encaminhamento consentido para Unique</x:v>
      </x:c>
      <x:c r="G13" s="55" t="str">
        <x:v>Tatyanne / Fernando</x:v>
      </x:c>
      <x:c r="H13" s="55" t="str">
        <x:v>REQ-017</x:v>
      </x:c>
      <x:c r="I13" s="55" t="str">
        <x:v>ST-009, ST-010</x:v>
      </x:c>
      <x:c r="J13" s="55" t="str">
        <x:v>6h</x:v>
      </x:c>
      <x:c r="K13" s="55" t="str">
        <x:v>Caso registrado com origem, consentimento e status</x:v>
      </x:c>
      <x:c r="L13" s="55" t="str">
        <x:v>T-REF-001</x:v>
      </x:c>
      <x:c r="M13" s="61" t="str">
        <x:v>Planejado</x:v>
      </x:c>
    </x:row>
    <x:row r="14" ht="26.399999618530273" hidden="0" customHeight="1">
      <x:c r="A14" s="60" t="str">
        <x:v>ST-012</x:v>
      </x:c>
      <x:c r="B14" s="55" t="str">
        <x:v>EP-09 Auditoria</x:v>
      </x:c>
      <x:c r="C14" s="55" t="str">
        <x:v>M0 - 5 dias</x:v>
      </x:c>
      <x:c r="D14" s="55" t="str">
        <x:v>Dia 4</x:v>
      </x:c>
      <x:c r="E14" s="55" t="str">
        <x:v>P0</x:v>
      </x:c>
      <x:c r="F14" s="55" t="str">
        <x:v>Registrar eventos críticos no audit log</x:v>
      </x:c>
      <x:c r="G14" s="55" t="str">
        <x:v>Fernando</x:v>
      </x:c>
      <x:c r="H14" s="55" t="str">
        <x:v>REQ-020</x:v>
      </x:c>
      <x:c r="I14" s="55" t="str">
        <x:v>ST-003</x:v>
      </x:c>
      <x:c r="J14" s="55" t="str">
        <x:v>5h</x:v>
      </x:c>
      <x:c r="K14" s="55" t="str">
        <x:v>Login, diagnóstico, resultado tributário e referral geram log</x:v>
      </x:c>
      <x:c r="L14" s="55" t="str">
        <x:v>T-AUD-001</x:v>
      </x:c>
      <x:c r="M14" s="61" t="str">
        <x:v>Planejado</x:v>
      </x:c>
    </x:row>
    <x:row r="15" ht="26.399999618530273" hidden="0" customHeight="1">
      <x:c r="A15" s="60" t="str">
        <x:v>ST-013</x:v>
      </x:c>
      <x:c r="B15" s="55" t="str">
        <x:v>EP-10 Demo</x:v>
      </x:c>
      <x:c r="C15" s="55" t="str">
        <x:v>M0 - 5 dias</x:v>
      </x:c>
      <x:c r="D15" s="55" t="str">
        <x:v>Dia 4</x:v>
      </x:c>
      <x:c r="E15" s="55" t="str">
        <x:v>P0</x:v>
      </x:c>
      <x:c r="F15" s="55" t="str">
        <x:v>Criar empresa demo e roteiro de demonstração Unique</x:v>
      </x:c>
      <x:c r="G15" s="55" t="str">
        <x:v>Hudson / Tatyanne</x:v>
      </x:c>
      <x:c r="H15" s="55" t="str">
        <x:v>REQ-006, REQ-014, REQ-017</x:v>
      </x:c>
      <x:c r="I15" s="55" t="str">
        <x:v>ST-008, ST-011</x:v>
      </x:c>
      <x:c r="J15" s="55" t="str">
        <x:v>4h</x:v>
      </x:c>
      <x:c r="K15" s="55" t="str">
        <x:v>Demo completa em 8-12 minutos sem depender de dados reais</x:v>
      </x:c>
      <x:c r="L15" s="55" t="str">
        <x:v>T-DEMO-001</x:v>
      </x:c>
      <x:c r="M15" s="61" t="str">
        <x:v>Planejado</x:v>
      </x:c>
    </x:row>
    <x:row r="16" ht="26.399999618530273" hidden="0" customHeight="1">
      <x:c r="A16" s="60" t="str">
        <x:v>ST-014</x:v>
      </x:c>
      <x:c r="B16" s="55" t="str">
        <x:v>EP-10 Demo</x:v>
      </x:c>
      <x:c r="C16" s="55" t="str">
        <x:v>M0 - 5 dias</x:v>
      </x:c>
      <x:c r="D16" s="55" t="str">
        <x:v>Dia 5</x:v>
      </x:c>
      <x:c r="E16" s="55" t="str">
        <x:v>P0</x:v>
      </x:c>
      <x:c r="F16" s="55" t="str">
        <x:v>Executar smoke, segurança básica e testes de fluxo</x:v>
      </x:c>
      <x:c r="G16" s="55" t="str">
        <x:v>Fernando</x:v>
      </x:c>
      <x:c r="H16" s="55" t="str">
        <x:v>REQ-002, REQ-004, REQ-014, REQ-017, REQ-020</x:v>
      </x:c>
      <x:c r="I16" s="55" t="str">
        <x:v>ST-012, ST-013</x:v>
      </x:c>
      <x:c r="J16" s="55" t="str">
        <x:v>6h</x:v>
      </x:c>
      <x:c r="K16" s="55" t="str">
        <x:v>Fluxo crítico passa; falhas conhecidas registradas</x:v>
      </x:c>
      <x:c r="L16" s="55" t="str">
        <x:v>T-SMOKE-001</x:v>
      </x:c>
      <x:c r="M16" s="61" t="str">
        <x:v>Planejado</x:v>
      </x:c>
    </x:row>
    <x:row r="17" ht="26.399999618530273" hidden="0" customHeight="1">
      <x:c r="A17" s="60" t="str">
        <x:v>ST-015</x:v>
      </x:c>
      <x:c r="B17" s="55" t="str">
        <x:v>EP-10 Demo</x:v>
      </x:c>
      <x:c r="C17" s="55" t="str">
        <x:v>M0 - 5 dias</x:v>
      </x:c>
      <x:c r="D17" s="55" t="str">
        <x:v>Dia 5</x:v>
      </x:c>
      <x:c r="E17" s="55" t="str">
        <x:v>P0</x:v>
      </x:c>
      <x:c r="F17" s="55" t="str">
        <x:v>Preparar ambiente de reunião, backup e script de contingência</x:v>
      </x:c>
      <x:c r="G17" s="55" t="str">
        <x:v>Hudson / Fernando / Tatyanne</x:v>
      </x:c>
      <x:c r="H17" s="55" t="str">
        <x:v>REQ-001</x:v>
      </x:c>
      <x:c r="I17" s="55" t="str">
        <x:v>ST-014</x:v>
      </x:c>
      <x:c r="J17" s="55" t="str">
        <x:v>4h</x:v>
      </x:c>
      <x:c r="K17" s="55" t="str">
        <x:v>Link, conta demo, vídeo curto e plano B validados</x:v>
      </x:c>
      <x:c r="L17" s="55" t="str">
        <x:v>T-DEMO-002</x:v>
      </x:c>
      <x:c r="M17" s="61" t="str">
        <x:v>Planejado</x:v>
      </x:c>
    </x:row>
    <x:row r="18" ht="15" hidden="0" customHeight="1">
      <x:c r="A18" s="60" t="str">
        <x:v>ST-016</x:v>
      </x:c>
      <x:c r="B18" s="55" t="str">
        <x:v>EP-11 Segurança</x:v>
      </x:c>
      <x:c r="C18" s="55" t="str">
        <x:v>M1 - 30 dias</x:v>
      </x:c>
      <x:c r="D18" s="55" t="str">
        <x:v>Dias 6-8</x:v>
      </x:c>
      <x:c r="E18" s="55" t="str">
        <x:v>P0</x:v>
      </x:c>
      <x:c r="F18" s="55" t="str">
        <x:v>Implementar multi-tenancy e RLS obrigatória</x:v>
      </x:c>
      <x:c r="G18" s="55" t="str">
        <x:v>Fernando</x:v>
      </x:c>
      <x:c r="H18" s="55" t="str">
        <x:v>REQ-003</x:v>
      </x:c>
      <x:c r="I18" s="55" t="str">
        <x:v>ST-002</x:v>
      </x:c>
      <x:c r="J18" s="55" t="str">
        <x:v>12h</x:v>
      </x:c>
      <x:c r="K18" s="55" t="str">
        <x:v>Testes cross-tenant bloqueiam 100% dos casos</x:v>
      </x:c>
      <x:c r="L18" s="55" t="str">
        <x:v>T-TEN-001</x:v>
      </x:c>
      <x:c r="M18" s="61" t="str">
        <x:v>Planejado</x:v>
      </x:c>
    </x:row>
    <x:row r="19" ht="15" hidden="0" customHeight="1">
      <x:c r="A19" s="60" t="str">
        <x:v>ST-017</x:v>
      </x:c>
      <x:c r="B19" s="55" t="str">
        <x:v>EP-11 Segurança</x:v>
      </x:c>
      <x:c r="C19" s="55" t="str">
        <x:v>M1 - 30 dias</x:v>
      </x:c>
      <x:c r="D19" s="55" t="str">
        <x:v>Dias 6-8</x:v>
      </x:c>
      <x:c r="E19" s="55" t="str">
        <x:v>P0</x:v>
      </x:c>
      <x:c r="F19" s="55" t="str">
        <x:v>Implementar RBAC e deny-by-default</x:v>
      </x:c>
      <x:c r="G19" s="55" t="str">
        <x:v>Fernando</x:v>
      </x:c>
      <x:c r="H19" s="55" t="str">
        <x:v>REQ-021</x:v>
      </x:c>
      <x:c r="I19" s="55" t="str">
        <x:v>ST-016</x:v>
      </x:c>
      <x:c r="J19" s="55" t="str">
        <x:v>8h</x:v>
      </x:c>
      <x:c r="K19" s="55" t="str">
        <x:v>Permissões por papel e testes negativos</x:v>
      </x:c>
      <x:c r="L19" s="55" t="str">
        <x:v>T-SEC-001</x:v>
      </x:c>
      <x:c r="M19" s="61" t="str">
        <x:v>Planejado</x:v>
      </x:c>
    </x:row>
    <x:row r="20" ht="15" hidden="0" customHeight="1">
      <x:c r="A20" s="60" t="str">
        <x:v>ST-018</x:v>
      </x:c>
      <x:c r="B20" s="55" t="str">
        <x:v>EP-12 Twin</x:v>
      </x:c>
      <x:c r="C20" s="55" t="str">
        <x:v>M1 - 30 dias</x:v>
      </x:c>
      <x:c r="D20" s="55" t="str">
        <x:v>Dias 9-11</x:v>
      </x:c>
      <x:c r="E20" s="55" t="str">
        <x:v>P0</x:v>
      </x:c>
      <x:c r="F20" s="55" t="str">
        <x:v>Criar Business Twin básico com proveniência</x:v>
      </x:c>
      <x:c r="G20" s="55" t="str">
        <x:v>Fernando</x:v>
      </x:c>
      <x:c r="H20" s="55" t="str">
        <x:v>REQ-008</x:v>
      </x:c>
      <x:c r="I20" s="55" t="str">
        <x:v>ST-006</x:v>
      </x:c>
      <x:c r="J20" s="55" t="str">
        <x:v>14h</x:v>
      </x:c>
      <x:c r="K20" s="55" t="str">
        <x:v>Fatos possuem fonte, confiança, vigência e histórico</x:v>
      </x:c>
      <x:c r="L20" s="55" t="str">
        <x:v>T-TWIN-001</x:v>
      </x:c>
      <x:c r="M20" s="61" t="str">
        <x:v>Planejado</x:v>
      </x:c>
    </x:row>
    <x:row r="21" ht="15" hidden="0" customHeight="1">
      <x:c r="A21" s="60" t="str">
        <x:v>ST-019</x:v>
      </x:c>
      <x:c r="B21" s="55" t="str">
        <x:v>EP-04 Diagnóstico</x:v>
      </x:c>
      <x:c r="C21" s="55" t="str">
        <x:v>M1 - 30 dias</x:v>
      </x:c>
      <x:c r="D21" s="55" t="str">
        <x:v>Dias 9-11</x:v>
      </x:c>
      <x:c r="E21" s="55" t="str">
        <x:v>P0</x:v>
      </x:c>
      <x:c r="F21" s="55" t="str">
        <x:v>Versionar diagnóstico, perguntas e respostas</x:v>
      </x:c>
      <x:c r="G21" s="55" t="str">
        <x:v>Hudson / Fernando</x:v>
      </x:c>
      <x:c r="H21" s="55" t="str">
        <x:v>REQ-006</x:v>
      </x:c>
      <x:c r="I21" s="55" t="str">
        <x:v>ST-006</x:v>
      </x:c>
      <x:c r="J21" s="55" t="str">
        <x:v>8h</x:v>
      </x:c>
      <x:c r="K21" s="55" t="str">
        <x:v>Versão usada fica congelada no diagnóstico concluído</x:v>
      </x:c>
      <x:c r="L21" s="55" t="str">
        <x:v>T-DIAG-002</x:v>
      </x:c>
      <x:c r="M21" s="61" t="str">
        <x:v>Planejado</x:v>
      </x:c>
    </x:row>
    <x:row r="22" ht="15" hidden="0" customHeight="1">
      <x:c r="A22" s="60" t="str">
        <x:v>ST-020</x:v>
      </x:c>
      <x:c r="B22" s="55" t="str">
        <x:v>EP-05 Scoring</x:v>
      </x:c>
      <x:c r="C22" s="55" t="str">
        <x:v>M1 - 30 dias</x:v>
      </x:c>
      <x:c r="D22" s="55" t="str">
        <x:v>Dias 12-13</x:v>
      </x:c>
      <x:c r="E22" s="55" t="str">
        <x:v>P0</x:v>
      </x:c>
      <x:c r="F22" s="55" t="str">
        <x:v>Transformar score em rules engine versionado</x:v>
      </x:c>
      <x:c r="G22" s="55" t="str">
        <x:v>Fernando</x:v>
      </x:c>
      <x:c r="H22" s="55" t="str">
        <x:v>REQ-007</x:v>
      </x:c>
      <x:c r="I22" s="55" t="str">
        <x:v>ST-007, ST-019</x:v>
      </x:c>
      <x:c r="J22" s="55" t="str">
        <x:v>10h</x:v>
      </x:c>
      <x:c r="K22" s="55" t="str">
        <x:v>Regra publicada possui vigência, autor e rollback</x:v>
      </x:c>
      <x:c r="L22" s="55" t="str">
        <x:v>T-SCORE-002</x:v>
      </x:c>
      <x:c r="M22" s="61" t="str">
        <x:v>Planejado</x:v>
      </x:c>
    </x:row>
    <x:row r="23" ht="15" hidden="0" customHeight="1">
      <x:c r="A23" s="60" t="str">
        <x:v>ST-021</x:v>
      </x:c>
      <x:c r="B23" s="55" t="str">
        <x:v>EP-06 Decisão</x:v>
      </x:c>
      <x:c r="C23" s="55" t="str">
        <x:v>M1 - 30 dias</x:v>
      </x:c>
      <x:c r="D23" s="55" t="str">
        <x:v>Dias 12-14</x:v>
      </x:c>
      <x:c r="E23" s="55" t="str">
        <x:v>P0</x:v>
      </x:c>
      <x:c r="F23" s="55" t="str">
        <x:v>Implementar GDS completo e aprovação humana</x:v>
      </x:c>
      <x:c r="G23" s="55" t="str">
        <x:v>Hudson / Fernando</x:v>
      </x:c>
      <x:c r="H23" s="55" t="str">
        <x:v>REQ-009, REQ-023</x:v>
      </x:c>
      <x:c r="I23" s="55" t="str">
        <x:v>ST-018, ST-020</x:v>
      </x:c>
      <x:c r="J23" s="55" t="str">
        <x:v>12h</x:v>
      </x:c>
      <x:c r="K23" s="55" t="str">
        <x:v>Decisão material exige evidência e estado de aprovação</x:v>
      </x:c>
      <x:c r="L23" s="55" t="str">
        <x:v>T-GDS-002</x:v>
      </x:c>
      <x:c r="M23" s="61" t="str">
        <x:v>Planejado</x:v>
      </x:c>
    </x:row>
    <x:row r="24" ht="15" hidden="0" customHeight="1">
      <x:c r="A24" s="60" t="str">
        <x:v>ST-022</x:v>
      </x:c>
      <x:c r="B24" s="55" t="str">
        <x:v>EP-13 Execução</x:v>
      </x:c>
      <x:c r="C24" s="55" t="str">
        <x:v>M1 - 30 dias</x:v>
      </x:c>
      <x:c r="D24" s="55" t="str">
        <x:v>Dias 15-16</x:v>
      </x:c>
      <x:c r="E24" s="55" t="str">
        <x:v>P0</x:v>
      </x:c>
      <x:c r="F24" s="55" t="str">
        <x:v>Implementar missões e tarefas</x:v>
      </x:c>
      <x:c r="G24" s="55" t="str">
        <x:v>Fernando</x:v>
      </x:c>
      <x:c r="H24" s="55" t="str">
        <x:v>REQ-010</x:v>
      </x:c>
      <x:c r="I24" s="55" t="str">
        <x:v>ST-021</x:v>
      </x:c>
      <x:c r="J24" s="55" t="str">
        <x:v>12h</x:v>
      </x:c>
      <x:c r="K24" s="55" t="str">
        <x:v>Missão com dono, prazo, métrica, dependência e status</x:v>
      </x:c>
      <x:c r="L24" s="55" t="str">
        <x:v>T-MIS-001</x:v>
      </x:c>
      <x:c r="M24" s="61" t="str">
        <x:v>Planejado</x:v>
      </x:c>
    </x:row>
    <x:row r="25" ht="15" hidden="0" customHeight="1">
      <x:c r="A25" s="60" t="str">
        <x:v>ST-023</x:v>
      </x:c>
      <x:c r="B25" s="55" t="str">
        <x:v>EP-13 Execução</x:v>
      </x:c>
      <x:c r="C25" s="55" t="str">
        <x:v>M1 - 30 dias</x:v>
      </x:c>
      <x:c r="D25" s="55" t="str">
        <x:v>Dias 16-17</x:v>
      </x:c>
      <x:c r="E25" s="55" t="str">
        <x:v>P0</x:v>
      </x:c>
      <x:c r="F25" s="55" t="str">
        <x:v>Implementar evidências com validação</x:v>
      </x:c>
      <x:c r="G25" s="55" t="str">
        <x:v>Fernando</x:v>
      </x:c>
      <x:c r="H25" s="55" t="str">
        <x:v>REQ-011</x:v>
      </x:c>
      <x:c r="I25" s="55" t="str">
        <x:v>ST-022</x:v>
      </x:c>
      <x:c r="J25" s="55" t="str">
        <x:v>10h</x:v>
      </x:c>
      <x:c r="K25" s="55" t="str">
        <x:v>Evidência versionada, validada ou rejeitada</x:v>
      </x:c>
      <x:c r="L25" s="55" t="str">
        <x:v>T-EVD-001</x:v>
      </x:c>
      <x:c r="M25" s="61" t="str">
        <x:v>Planejado</x:v>
      </x:c>
    </x:row>
    <x:row r="26" ht="15" hidden="0" customHeight="1">
      <x:c r="A26" s="60" t="str">
        <x:v>ST-024</x:v>
      </x:c>
      <x:c r="B26" s="55" t="str">
        <x:v>EP-14 Resultados</x:v>
      </x:c>
      <x:c r="C26" s="55" t="str">
        <x:v>M1 - 30 dias</x:v>
      </x:c>
      <x:c r="D26" s="55" t="str">
        <x:v>Dias 17-18</x:v>
      </x:c>
      <x:c r="E26" s="55" t="str">
        <x:v>P0</x:v>
      </x:c>
      <x:c r="F26" s="55" t="str">
        <x:v>Implementar baseline, meta e resultado</x:v>
      </x:c>
      <x:c r="G26" s="55" t="str">
        <x:v>Hudson / Fernando</x:v>
      </x:c>
      <x:c r="H26" s="55" t="str">
        <x:v>REQ-012</x:v>
      </x:c>
      <x:c r="I26" s="55" t="str">
        <x:v>ST-022, ST-023</x:v>
      </x:c>
      <x:c r="J26" s="55" t="str">
        <x:v>10h</x:v>
      </x:c>
      <x:c r="K26" s="55" t="str">
        <x:v>Resultado registra associação e nível de confiança</x:v>
      </x:c>
      <x:c r="L26" s="55" t="str">
        <x:v>T-OUT-001</x:v>
      </x:c>
      <x:c r="M26" s="61" t="str">
        <x:v>Planejado</x:v>
      </x:c>
    </x:row>
    <x:row r="27" ht="15" hidden="0" customHeight="1">
      <x:c r="A27" s="60" t="str">
        <x:v>ST-025</x:v>
      </x:c>
      <x:c r="B27" s="55" t="str">
        <x:v>EP-07 CTO-Tax</x:v>
      </x:c>
      <x:c r="C27" s="55" t="str">
        <x:v>M1 - 30 dias</x:v>
      </x:c>
      <x:c r="D27" s="55" t="str">
        <x:v>Dias 12-15</x:v>
      </x:c>
      <x:c r="E27" s="55" t="str">
        <x:v>P0</x:v>
      </x:c>
      <x:c r="F27" s="55" t="str">
        <x:v>Versionar e aprovar critérios tributários</x:v>
      </x:c>
      <x:c r="G27" s="55" t="str">
        <x:v>Especialista / Fernando</x:v>
      </x:c>
      <x:c r="H27" s="55" t="str">
        <x:v>REQ-015</x:v>
      </x:c>
      <x:c r="I27" s="55" t="str">
        <x:v>ST-009</x:v>
      </x:c>
      <x:c r="J27" s="55" t="str">
        <x:v>10h</x:v>
      </x:c>
      <x:c r="K27" s="55" t="str">
        <x:v>Nenhuma regra ativa sem fonte e aprovação</x:v>
      </x:c>
      <x:c r="L27" s="55" t="str">
        <x:v>T-TAX-002</x:v>
      </x:c>
      <x:c r="M27" s="61" t="str">
        <x:v>Planejado</x:v>
      </x:c>
    </x:row>
    <x:row r="28" ht="15" hidden="0" customHeight="1">
      <x:c r="A28" s="60" t="str">
        <x:v>ST-026</x:v>
      </x:c>
      <x:c r="B28" s="55" t="str">
        <x:v>EP-07 CTO-Tax</x:v>
      </x:c>
      <x:c r="C28" s="55" t="str">
        <x:v>M1 - 30 dias</x:v>
      </x:c>
      <x:c r="D28" s="55" t="str">
        <x:v>Dias 15-17</x:v>
      </x:c>
      <x:c r="E28" s="55" t="str">
        <x:v>P0</x:v>
      </x:c>
      <x:c r="F28" s="55" t="str">
        <x:v>Criar checklist documental e Tax Evidence Room básico</x:v>
      </x:c>
      <x:c r="G28" s="55" t="str">
        <x:v>Especialista / Fernando</x:v>
      </x:c>
      <x:c r="H28" s="55" t="str">
        <x:v>REQ-019</x:v>
      </x:c>
      <x:c r="I28" s="55" t="str">
        <x:v>ST-025</x:v>
      </x:c>
      <x:c r="J28" s="55" t="str">
        <x:v>12h</x:v>
      </x:c>
      <x:c r="K28" s="55" t="str">
        <x:v>Documentos separados por caso e acesso autorizado</x:v>
      </x:c>
      <x:c r="L28" s="55" t="str">
        <x:v>T-TAX-005</x:v>
      </x:c>
      <x:c r="M28" s="61" t="str">
        <x:v>Planejado</x:v>
      </x:c>
    </x:row>
    <x:row r="29" ht="15" hidden="0" customHeight="1">
      <x:c r="A29" s="60" t="str">
        <x:v>ST-027</x:v>
      </x:c>
      <x:c r="B29" s="55" t="str">
        <x:v>EP-07 CTO-Tax</x:v>
      </x:c>
      <x:c r="C29" s="55" t="str">
        <x:v>M1 - 30 dias</x:v>
      </x:c>
      <x:c r="D29" s="55" t="str">
        <x:v>Dias 18-20</x:v>
      </x:c>
      <x:c r="E29" s="55" t="str">
        <x:v>P0</x:v>
      </x:c>
      <x:c r="F29" s="55" t="str">
        <x:v>Criar portal de revisão para especialista</x:v>
      </x:c>
      <x:c r="G29" s="55" t="str">
        <x:v>Fernando</x:v>
      </x:c>
      <x:c r="H29" s="55" t="str">
        <x:v>REQ-019</x:v>
      </x:c>
      <x:c r="I29" s="55" t="str">
        <x:v>ST-026</x:v>
      </x:c>
      <x:c r="J29" s="55" t="str">
        <x:v>14h</x:v>
      </x:c>
      <x:c r="K29" s="55" t="str">
        <x:v>Especialista revisa, comenta, valida ou descarta</x:v>
      </x:c>
      <x:c r="L29" s="55" t="str">
        <x:v>T-TAX-004</x:v>
      </x:c>
      <x:c r="M29" s="61" t="str">
        <x:v>Planejado</x:v>
      </x:c>
    </x:row>
    <x:row r="30" ht="15" hidden="0" customHeight="1">
      <x:c r="A30" s="60" t="str">
        <x:v>ST-028</x:v>
      </x:c>
      <x:c r="B30" s="55" t="str">
        <x:v>EP-07 CTO-Tax</x:v>
      </x:c>
      <x:c r="C30" s="55" t="str">
        <x:v>M1 - 30 dias</x:v>
      </x:c>
      <x:c r="D30" s="55" t="str">
        <x:v>Dias 20-21</x:v>
      </x:c>
      <x:c r="E30" s="55" t="str">
        <x:v>P0</x:v>
      </x:c>
      <x:c r="F30" s="55" t="str">
        <x:v>Implementar estados e SLA do caso tributário</x:v>
      </x:c>
      <x:c r="G30" s="55" t="str">
        <x:v>Tatyanne / Fernando</x:v>
      </x:c>
      <x:c r="H30" s="55" t="str">
        <x:v>REQ-019</x:v>
      </x:c>
      <x:c r="I30" s="55" t="str">
        <x:v>ST-027</x:v>
      </x:c>
      <x:c r="J30" s="55" t="str">
        <x:v>8h</x:v>
      </x:c>
      <x:c r="K30" s="55" t="str">
        <x:v>Cliente vê status sem promessa de prazo de crédito</x:v>
      </x:c>
      <x:c r="L30" s="55" t="str">
        <x:v>T-TAX-006</x:v>
      </x:c>
      <x:c r="M30" s="61" t="str">
        <x:v>Planejado</x:v>
      </x:c>
    </x:row>
    <x:row r="31" ht="26.399999618530273" hidden="0" customHeight="1">
      <x:c r="A31" s="60" t="str">
        <x:v>ST-029</x:v>
      </x:c>
      <x:c r="B31" s="55" t="str">
        <x:v>EP-08 Referral</x:v>
      </x:c>
      <x:c r="C31" s="55" t="str">
        <x:v>M1 - 30 dias</x:v>
      </x:c>
      <x:c r="D31" s="55" t="str">
        <x:v>Dias 18-20</x:v>
      </x:c>
      <x:c r="E31" s="55" t="str">
        <x:v>P0</x:v>
      </x:c>
      <x:c r="F31" s="55" t="str">
        <x:v>Formalizar disclosure, consentimento e termos de referral Unique</x:v>
      </x:c>
      <x:c r="G31" s="55" t="str">
        <x:v>Lilian / Tatyanne</x:v>
      </x:c>
      <x:c r="H31" s="55" t="str">
        <x:v>REQ-017, REQ-018</x:v>
      </x:c>
      <x:c r="I31" s="55" t="str">
        <x:v>ST-011</x:v>
      </x:c>
      <x:c r="J31" s="55" t="str">
        <x:v>6h</x:v>
      </x:c>
      <x:c r="K31" s="55" t="str">
        <x:v>Textos e versões aprovados; conflito de interesse declarado</x:v>
      </x:c>
      <x:c r="L31" s="55" t="str">
        <x:v>T-REF-004</x:v>
      </x:c>
      <x:c r="M31" s="61" t="str">
        <x:v>Planejado</x:v>
      </x:c>
    </x:row>
    <x:row r="32" ht="15" hidden="0" customHeight="1">
      <x:c r="A32" s="60" t="str">
        <x:v>ST-030</x:v>
      </x:c>
      <x:c r="B32" s="55" t="str">
        <x:v>EP-09 Auditoria</x:v>
      </x:c>
      <x:c r="C32" s="55" t="str">
        <x:v>M1 - 30 dias</x:v>
      </x:c>
      <x:c r="D32" s="55" t="str">
        <x:v>Dias 21-22</x:v>
      </x:c>
      <x:c r="E32" s="55" t="str">
        <x:v>P0</x:v>
      </x:c>
      <x:c r="F32" s="55" t="str">
        <x:v>Expandir auditoria append-only e relatórios</x:v>
      </x:c>
      <x:c r="G32" s="55" t="str">
        <x:v>Fernando</x:v>
      </x:c>
      <x:c r="H32" s="55" t="str">
        <x:v>REQ-020</x:v>
      </x:c>
      <x:c r="I32" s="55" t="str">
        <x:v>ST-012</x:v>
      </x:c>
      <x:c r="J32" s="55" t="str">
        <x:v>8h</x:v>
      </x:c>
      <x:c r="K32" s="55" t="str">
        <x:v>Ações administrativas e revisões tributárias auditadas</x:v>
      </x:c>
      <x:c r="L32" s="55" t="str">
        <x:v>T-AUD-002</x:v>
      </x:c>
      <x:c r="M32" s="61" t="str">
        <x:v>Planejado</x:v>
      </x:c>
    </x:row>
    <x:row r="33" ht="15" hidden="0" customHeight="1">
      <x:c r="A33" s="60" t="str">
        <x:v>ST-031</x:v>
      </x:c>
      <x:c r="B33" s="55" t="str">
        <x:v>EP-15 Comunicação</x:v>
      </x:c>
      <x:c r="C33" s="55" t="str">
        <x:v>M1 - 30 dias</x:v>
      </x:c>
      <x:c r="D33" s="55" t="str">
        <x:v>Dias 21-22</x:v>
      </x:c>
      <x:c r="E33" s="55" t="str">
        <x:v>P1</x:v>
      </x:c>
      <x:c r="F33" s="55" t="str">
        <x:v>Implementar notificações essenciais</x:v>
      </x:c>
      <x:c r="G33" s="55" t="str">
        <x:v>Fernando</x:v>
      </x:c>
      <x:c r="H33" s="55" t="str">
        <x:v>REQ-025</x:v>
      </x:c>
      <x:c r="I33" s="55" t="str">
        <x:v>ST-022, ST-028</x:v>
      </x:c>
      <x:c r="J33" s="55" t="str">
        <x:v>8h</x:v>
      </x:c>
      <x:c r="K33" s="55" t="str">
        <x:v>Sem duplicidade; opt-out respeitado</x:v>
      </x:c>
      <x:c r="L33" s="55" t="str">
        <x:v>T-NOT-001</x:v>
      </x:c>
      <x:c r="M33" s="61" t="str">
        <x:v>Planejado</x:v>
      </x:c>
    </x:row>
    <x:row r="34" ht="15" hidden="0" customHeight="1">
      <x:c r="A34" s="60" t="str">
        <x:v>ST-032</x:v>
      </x:c>
      <x:c r="B34" s="55" t="str">
        <x:v>EP-16 Admin</x:v>
      </x:c>
      <x:c r="C34" s="55" t="str">
        <x:v>M1 - 30 dias</x:v>
      </x:c>
      <x:c r="D34" s="55" t="str">
        <x:v>Dias 22-24</x:v>
      </x:c>
      <x:c r="E34" s="55" t="str">
        <x:v>P0</x:v>
      </x:c>
      <x:c r="F34" s="55" t="str">
        <x:v>Criar painel admin mínimo</x:v>
      </x:c>
      <x:c r="G34" s="55" t="str">
        <x:v>Fernando</x:v>
      </x:c>
      <x:c r="H34" s="55" t="str">
        <x:v>REQ-026</x:v>
      </x:c>
      <x:c r="I34" s="55" t="str">
        <x:v>ST-020, ST-025</x:v>
      </x:c>
      <x:c r="J34" s="55" t="str">
        <x:v>14h</x:v>
      </x:c>
      <x:c r="K34" s="55" t="str">
        <x:v>Admin gerencia regras, versões, parceiros e flags</x:v>
      </x:c>
      <x:c r="L34" s="55" t="str">
        <x:v>T-ADM-001</x:v>
      </x:c>
      <x:c r="M34" s="61" t="str">
        <x:v>Planejado</x:v>
      </x:c>
    </x:row>
    <x:row r="35" ht="15" hidden="0" customHeight="1">
      <x:c r="A35" s="60" t="str">
        <x:v>ST-033</x:v>
      </x:c>
      <x:c r="B35" s="55" t="str">
        <x:v>EP-17 Operação</x:v>
      </x:c>
      <x:c r="C35" s="55" t="str">
        <x:v>M1 - 30 dias</x:v>
      </x:c>
      <x:c r="D35" s="55" t="str">
        <x:v>Dias 22-24</x:v>
      </x:c>
      <x:c r="E35" s="55" t="str">
        <x:v>P0</x:v>
      </x:c>
      <x:c r="F35" s="55" t="str">
        <x:v>Implementar logs, erros e métricas</x:v>
      </x:c>
      <x:c r="G35" s="55" t="str">
        <x:v>Fernando</x:v>
      </x:c>
      <x:c r="H35" s="55" t="str">
        <x:v>REQ-027</x:v>
      </x:c>
      <x:c r="I35" s="55" t="str">
        <x:v>ST-002</x:v>
      </x:c>
      <x:c r="J35" s="55" t="str">
        <x:v>10h</x:v>
      </x:c>
      <x:c r="K35" s="55" t="str">
        <x:v>Alertas e correlação por request id</x:v>
      </x:c>
      <x:c r="L35" s="55" t="str">
        <x:v>T-OPS-001</x:v>
      </x:c>
      <x:c r="M35" s="61" t="str">
        <x:v>Planejado</x:v>
      </x:c>
    </x:row>
    <x:row r="36" ht="15" hidden="0" customHeight="1">
      <x:c r="A36" s="60" t="str">
        <x:v>ST-034</x:v>
      </x:c>
      <x:c r="B36" s="55" t="str">
        <x:v>EP-03 Privacidade</x:v>
      </x:c>
      <x:c r="C36" s="55" t="str">
        <x:v>M1 - 30 dias</x:v>
      </x:c>
      <x:c r="D36" s="55" t="str">
        <x:v>Dias 24-25</x:v>
      </x:c>
      <x:c r="E36" s="55" t="str">
        <x:v>P0</x:v>
      </x:c>
      <x:c r="F36" s="55" t="str">
        <x:v>Implementar solicitações LGPD e retenção</x:v>
      </x:c>
      <x:c r="G36" s="55" t="str">
        <x:v>Lilian / Fernando</x:v>
      </x:c>
      <x:c r="H36" s="55" t="str">
        <x:v>REQ-022</x:v>
      </x:c>
      <x:c r="I36" s="55" t="str">
        <x:v>ST-005</x:v>
      </x:c>
      <x:c r="J36" s="55" t="str">
        <x:v>10h</x:v>
      </x:c>
      <x:c r="K36" s="55" t="str">
        <x:v>Acesso, correção, revogação e exclusão aplicável</x:v>
      </x:c>
      <x:c r="L36" s="55" t="str">
        <x:v>T-LGPD-002</x:v>
      </x:c>
      <x:c r="M36" s="61" t="str">
        <x:v>Planejado</x:v>
      </x:c>
    </x:row>
    <x:row r="37" ht="15" hidden="0" customHeight="1">
      <x:c r="A37" s="60" t="str">
        <x:v>ST-035</x:v>
      </x:c>
      <x:c r="B37" s="55" t="str">
        <x:v>EP-17 Operação</x:v>
      </x:c>
      <x:c r="C37" s="55" t="str">
        <x:v>M1 - 30 dias</x:v>
      </x:c>
      <x:c r="D37" s="55" t="str">
        <x:v>Dias 24-25</x:v>
      </x:c>
      <x:c r="E37" s="55" t="str">
        <x:v>P0</x:v>
      </x:c>
      <x:c r="F37" s="55" t="str">
        <x:v>Configurar backup, restore e rollback</x:v>
      </x:c>
      <x:c r="G37" s="55" t="str">
        <x:v>Fernando</x:v>
      </x:c>
      <x:c r="H37" s="55" t="str">
        <x:v>REQ-028</x:v>
      </x:c>
      <x:c r="I37" s="55" t="str">
        <x:v>ST-016</x:v>
      </x:c>
      <x:c r="J37" s="55" t="str">
        <x:v>8h</x:v>
      </x:c>
      <x:c r="K37" s="55" t="str">
        <x:v>Restauração testada e evidenciada</x:v>
      </x:c>
      <x:c r="L37" s="55" t="str">
        <x:v>T-OPS-002</x:v>
      </x:c>
      <x:c r="M37" s="61" t="str">
        <x:v>Planejado</x:v>
      </x:c>
    </x:row>
    <x:row r="38" ht="15" hidden="0" customHeight="1">
      <x:c r="A38" s="60" t="str">
        <x:v>ST-036</x:v>
      </x:c>
      <x:c r="B38" s="55" t="str">
        <x:v>EP-11 Segurança</x:v>
      </x:c>
      <x:c r="C38" s="55" t="str">
        <x:v>M1 - 30 dias</x:v>
      </x:c>
      <x:c r="D38" s="55" t="str">
        <x:v>Dias 25-27</x:v>
      </x:c>
      <x:c r="E38" s="55" t="str">
        <x:v>P0</x:v>
      </x:c>
      <x:c r="F38" s="55" t="str">
        <x:v>Executar suíte de segurança e threat model</x:v>
      </x:c>
      <x:c r="G38" s="55" t="str">
        <x:v>Fernando</x:v>
      </x:c>
      <x:c r="H38" s="55" t="str">
        <x:v>REQ-003, REQ-021, REQ-023</x:v>
      </x:c>
      <x:c r="I38" s="55" t="str">
        <x:v>ST-016, ST-017, ST-033</x:v>
      </x:c>
      <x:c r="J38" s="55" t="str">
        <x:v>12h</x:v>
      </x:c>
      <x:c r="K38" s="55" t="str">
        <x:v>Riscos críticos sem mitigação bloqueiam release</x:v>
      </x:c>
      <x:c r="L38" s="55" t="str">
        <x:v>T-SEC-002</x:v>
      </x:c>
      <x:c r="M38" s="61" t="str">
        <x:v>Planejado</x:v>
      </x:c>
    </x:row>
    <x:row r="39" ht="26.399999618530273" hidden="0" customHeight="1">
      <x:c r="A39" s="60" t="str">
        <x:v>ST-037</x:v>
      </x:c>
      <x:c r="B39" s="55" t="str">
        <x:v>EP-18 Piloto</x:v>
      </x:c>
      <x:c r="C39" s="55" t="str">
        <x:v>M1 - 30 dias</x:v>
      </x:c>
      <x:c r="D39" s="55" t="str">
        <x:v>Dias 25-27</x:v>
      </x:c>
      <x:c r="E39" s="55" t="str">
        <x:v>P0</x:v>
      </x:c>
      <x:c r="F39" s="55" t="str">
        <x:v>Instrumentar funil e dashboard do piloto</x:v>
      </x:c>
      <x:c r="G39" s="55" t="str">
        <x:v>Hudson / Fernando</x:v>
      </x:c>
      <x:c r="H39" s="55" t="str">
        <x:v>REQ-029</x:v>
      </x:c>
      <x:c r="I39" s="55" t="str">
        <x:v>ST-033</x:v>
      </x:c>
      <x:c r="J39" s="55" t="str">
        <x:v>10h</x:v>
      </x:c>
      <x:c r="K39" s="55" t="str">
        <x:v>Eventos de ativação, diagnóstico, missão e referral medidos</x:v>
      </x:c>
      <x:c r="L39" s="55" t="str">
        <x:v>T-PIL-001</x:v>
      </x:c>
      <x:c r="M39" s="61" t="str">
        <x:v>Planejado</x:v>
      </x:c>
    </x:row>
    <x:row r="40" ht="15" hidden="0" customHeight="1">
      <x:c r="A40" s="60" t="str">
        <x:v>ST-038</x:v>
      </x:c>
      <x:c r="B40" s="55" t="str">
        <x:v>EP-18 Piloto</x:v>
      </x:c>
      <x:c r="C40" s="55" t="str">
        <x:v>M1 - 30 dias</x:v>
      </x:c>
      <x:c r="D40" s="55" t="str">
        <x:v>Dias 27-28</x:v>
      </x:c>
      <x:c r="E40" s="55" t="str">
        <x:v>P0</x:v>
      </x:c>
      <x:c r="F40" s="55" t="str">
        <x:v>Criar onboarding e operação da Onda 1</x:v>
      </x:c>
      <x:c r="G40" s="55" t="str">
        <x:v>Hudson / Tatyanne / Lilian</x:v>
      </x:c>
      <x:c r="H40" s="55" t="str">
        <x:v>REQ-029</x:v>
      </x:c>
      <x:c r="I40" s="55" t="str">
        <x:v>ST-037</x:v>
      </x:c>
      <x:c r="J40" s="55" t="str">
        <x:v>8h</x:v>
      </x:c>
      <x:c r="K40" s="55" t="str">
        <x:v>10-15 empresas com owner, agenda e suporte</x:v>
      </x:c>
      <x:c r="L40" s="55" t="str">
        <x:v>T-PIL-002</x:v>
      </x:c>
      <x:c r="M40" s="61" t="str">
        <x:v>Planejado</x:v>
      </x:c>
    </x:row>
    <x:row r="41" ht="15" hidden="0" customHeight="1">
      <x:c r="A41" s="60" t="str">
        <x:v>ST-039</x:v>
      </x:c>
      <x:c r="B41" s="55" t="str">
        <x:v>EP-19 IA/QA</x:v>
      </x:c>
      <x:c r="C41" s="55" t="str">
        <x:v>M1 - 30 dias</x:v>
      </x:c>
      <x:c r="D41" s="55" t="str">
        <x:v>Dias 27-29</x:v>
      </x:c>
      <x:c r="E41" s="55" t="str">
        <x:v>P0</x:v>
      </x:c>
      <x:c r="F41" s="55" t="str">
        <x:v>Criar contratos de agente e evals</x:v>
      </x:c>
      <x:c r="G41" s="55" t="str">
        <x:v>Hudson / Fernando</x:v>
      </x:c>
      <x:c r="H41" s="55" t="str">
        <x:v>REQ-023, REQ-024</x:v>
      </x:c>
      <x:c r="I41" s="55" t="str">
        <x:v>ST-021</x:v>
      </x:c>
      <x:c r="J41" s="55" t="str">
        <x:v>12h</x:v>
      </x:c>
      <x:c r="K41" s="55" t="str">
        <x:v>Thresholds aprovados e execução auditada</x:v>
      </x:c>
      <x:c r="L41" s="55" t="str">
        <x:v>T-AI-001, T-AI-002</x:v>
      </x:c>
      <x:c r="M41" s="61" t="str">
        <x:v>Planejado</x:v>
      </x:c>
    </x:row>
    <x:row r="42" ht="26.399999618530273" hidden="0" customHeight="1">
      <x:c r="A42" s="60" t="str">
        <x:v>ST-040</x:v>
      </x:c>
      <x:c r="B42" s="55" t="str">
        <x:v>EP-19 IA/QA</x:v>
      </x:c>
      <x:c r="C42" s="55" t="str">
        <x:v>M1 - 30 dias</x:v>
      </x:c>
      <x:c r="D42" s="55" t="str">
        <x:v>Dias 29-30</x:v>
      </x:c>
      <x:c r="E42" s="55" t="str">
        <x:v>P0</x:v>
      </x:c>
      <x:c r="F42" s="55" t="str">
        <x:v>Hardening, acessibilidade, performance e aceite</x:v>
      </x:c>
      <x:c r="G42" s="55" t="str">
        <x:v>Fernando</x:v>
      </x:c>
      <x:c r="H42" s="55" t="str">
        <x:v>REQ-002 a REQ-029</x:v>
      </x:c>
      <x:c r="I42" s="55" t="str">
        <x:v>ST-036, ST-039</x:v>
      </x:c>
      <x:c r="J42" s="55" t="str">
        <x:v>12h</x:v>
      </x:c>
      <x:c r="K42" s="55" t="str">
        <x:v>Gate M1 aprovado ou bloqueado com plano de correção</x:v>
      </x:c>
      <x:c r="L42" s="55" t="str">
        <x:v>T-REL-001</x:v>
      </x:c>
      <x:c r="M42" s="61" t="str">
        <x:v>Planejado</x:v>
      </x:c>
    </x:row>
    <x:row r="43" ht="15" hidden="0" customHeight="1">
      <x:c r="A43" s="60" t="str">
        <x:v>ST-041</x:v>
      </x:c>
      <x:c r="B43" s="55" t="str">
        <x:v>EP-20 Comercial</x:v>
      </x:c>
      <x:c r="C43" s="55" t="str">
        <x:v>V1 Starter - 45 dias</x:v>
      </x:c>
      <x:c r="D43" s="55" t="str">
        <x:v>Dias 31-33</x:v>
      </x:c>
      <x:c r="E43" s="55" t="str">
        <x:v>P1</x:v>
      </x:c>
      <x:c r="F43" s="55" t="str">
        <x:v>Implementar catálogo de planos e entitlements</x:v>
      </x:c>
      <x:c r="G43" s="55" t="str">
        <x:v>Hudson / Lilian / Fernando</x:v>
      </x:c>
      <x:c r="H43" s="55" t="str">
        <x:v>REQ-030</x:v>
      </x:c>
      <x:c r="I43" s="55" t="str">
        <x:v>ST-040</x:v>
      </x:c>
      <x:c r="J43" s="55" t="str">
        <x:v>12h</x:v>
      </x:c>
      <x:c r="K43" s="55" t="str">
        <x:v>Recursos por plano sem interferir em ranking</x:v>
      </x:c>
      <x:c r="L43" s="55" t="str">
        <x:v>T-PLAN-001</x:v>
      </x:c>
      <x:c r="M43" s="61" t="str">
        <x:v>Planejado</x:v>
      </x:c>
    </x:row>
    <x:row r="44" ht="15" hidden="0" customHeight="1">
      <x:c r="A44" s="60" t="str">
        <x:v>ST-042</x:v>
      </x:c>
      <x:c r="B44" s="55" t="str">
        <x:v>EP-20 Comercial</x:v>
      </x:c>
      <x:c r="C44" s="55" t="str">
        <x:v>V1 Starter - 45 dias</x:v>
      </x:c>
      <x:c r="D44" s="55" t="str">
        <x:v>Dias 33-34</x:v>
      </x:c>
      <x:c r="E44" s="55" t="str">
        <x:v>P1</x:v>
      </x:c>
      <x:c r="F44" s="55" t="str">
        <x:v>Implementar ciclo essencial Bronze de 30 dias</x:v>
      </x:c>
      <x:c r="G44" s="55" t="str">
        <x:v>Hudson / Fernando</x:v>
      </x:c>
      <x:c r="H44" s="55" t="str">
        <x:v>REQ-031</x:v>
      </x:c>
      <x:c r="I44" s="55" t="str">
        <x:v>ST-041, ST-022</x:v>
      </x:c>
      <x:c r="J44" s="55" t="str">
        <x:v>10h</x:v>
      </x:c>
      <x:c r="K44" s="55" t="str">
        <x:v>Bronze mantém decisão, missão e check-in inicial</x:v>
      </x:c>
      <x:c r="L44" s="55" t="str">
        <x:v>T-PLAN-002</x:v>
      </x:c>
      <x:c r="M44" s="61" t="str">
        <x:v>Planejado</x:v>
      </x:c>
    </x:row>
    <x:row r="45" ht="15" hidden="0" customHeight="1">
      <x:c r="A45" s="60" t="str">
        <x:v>ST-043</x:v>
      </x:c>
      <x:c r="B45" s="55" t="str">
        <x:v>EP-21 Parceiros</x:v>
      </x:c>
      <x:c r="C45" s="55" t="str">
        <x:v>V1 Starter - 45 dias</x:v>
      </x:c>
      <x:c r="D45" s="55" t="str">
        <x:v>Dias 31-34</x:v>
      </x:c>
      <x:c r="E45" s="55" t="str">
        <x:v>P1</x:v>
      </x:c>
      <x:c r="F45" s="55" t="str">
        <x:v>Criar homologação e contratos de parceiros</x:v>
      </x:c>
      <x:c r="G45" s="55" t="str">
        <x:v>Tatyanne / Lilian</x:v>
      </x:c>
      <x:c r="H45" s="55" t="str">
        <x:v>REQ-033</x:v>
      </x:c>
      <x:c r="I45" s="55" t="str">
        <x:v>ST-029</x:v>
      </x:c>
      <x:c r="J45" s="55" t="str">
        <x:v>10h</x:v>
      </x:c>
      <x:c r="K45" s="55" t="str">
        <x:v>Parceiro ativo somente após aprovação</x:v>
      </x:c>
      <x:c r="L45" s="55" t="str">
        <x:v>T-PAR-001</x:v>
      </x:c>
      <x:c r="M45" s="61" t="str">
        <x:v>Planejado</x:v>
      </x:c>
    </x:row>
    <x:row r="46" ht="15" hidden="0" customHeight="1">
      <x:c r="A46" s="60" t="str">
        <x:v>ST-044</x:v>
      </x:c>
      <x:c r="B46" s="55" t="str">
        <x:v>EP-08 Referral</x:v>
      </x:c>
      <x:c r="C46" s="55" t="str">
        <x:v>V1 Starter - 45 dias</x:v>
      </x:c>
      <x:c r="D46" s="55" t="str">
        <x:v>Dias 34-36</x:v>
      </x:c>
      <x:c r="E46" s="55" t="str">
        <x:v>P1</x:v>
      </x:c>
      <x:c r="F46" s="55" t="str">
        <x:v>Implementar atribuição e estágios de referral</x:v>
      </x:c>
      <x:c r="G46" s="55" t="str">
        <x:v>Tatyanne / Fernando</x:v>
      </x:c>
      <x:c r="H46" s="55" t="str">
        <x:v>REQ-032</x:v>
      </x:c>
      <x:c r="I46" s="55" t="str">
        <x:v>ST-028, ST-043</x:v>
      </x:c>
      <x:c r="J46" s="55" t="str">
        <x:v>12h</x:v>
      </x:c>
      <x:c r="K46" s="55" t="str">
        <x:v>Origem, contato, proposta, fechamento e fee auditáveis</x:v>
      </x:c>
      <x:c r="L46" s="55" t="str">
        <x:v>T-REF-003</x:v>
      </x:c>
      <x:c r="M46" s="61" t="str">
        <x:v>Planejado</x:v>
      </x:c>
    </x:row>
    <x:row r="47" ht="15" hidden="0" customHeight="1">
      <x:c r="A47" s="60" t="str">
        <x:v>ST-045</x:v>
      </x:c>
      <x:c r="B47" s="55" t="str">
        <x:v>EP-22 Marketplace</x:v>
      </x:c>
      <x:c r="C47" s="55" t="str">
        <x:v>V1 Starter - 45 dias</x:v>
      </x:c>
      <x:c r="D47" s="55" t="str">
        <x:v>Dias 36-38</x:v>
      </x:c>
      <x:c r="E47" s="55" t="str">
        <x:v>P1</x:v>
      </x:c>
      <x:c r="F47" s="55" t="str">
        <x:v>Criar marketplace fechado e ranking íntegro</x:v>
      </x:c>
      <x:c r="G47" s="55" t="str">
        <x:v>Hudson / Tatyanne / Fernando</x:v>
      </x:c>
      <x:c r="H47" s="55" t="str">
        <x:v>REQ-034, REQ-035</x:v>
      </x:c>
      <x:c r="I47" s="55" t="str">
        <x:v>ST-043, ST-044</x:v>
      </x:c>
      <x:c r="J47" s="55" t="str">
        <x:v>14h</x:v>
      </x:c>
      <x:c r="K47" s="55" t="str">
        <x:v>Plano e patrocínio não entram no score orgânico</x:v>
      </x:c>
      <x:c r="L47" s="55" t="str">
        <x:v>T-MKT-001, T-RANK-001</x:v>
      </x:c>
      <x:c r="M47" s="61" t="str">
        <x:v>Planejado</x:v>
      </x:c>
    </x:row>
    <x:row r="48" ht="15" hidden="0" customHeight="1">
      <x:c r="A48" s="60" t="str">
        <x:v>ST-046</x:v>
      </x:c>
      <x:c r="B48" s="55" t="str">
        <x:v>EP-23 Relatórios</x:v>
      </x:c>
      <x:c r="C48" s="55" t="str">
        <x:v>V1 Starter - 45 dias</x:v>
      </x:c>
      <x:c r="D48" s="55" t="str">
        <x:v>Dias 38-39</x:v>
      </x:c>
      <x:c r="E48" s="55" t="str">
        <x:v>P1</x:v>
      </x:c>
      <x:c r="F48" s="55" t="str">
        <x:v>Gerar relatórios e exportações</x:v>
      </x:c>
      <x:c r="G48" s="55" t="str">
        <x:v>Fernando</x:v>
      </x:c>
      <x:c r="H48" s="55" t="str">
        <x:v>REQ-036</x:v>
      </x:c>
      <x:c r="I48" s="55" t="str">
        <x:v>ST-021, ST-024</x:v>
      </x:c>
      <x:c r="J48" s="55" t="str">
        <x:v>10h</x:v>
      </x:c>
      <x:c r="K48" s="55" t="str">
        <x:v>PDF/arquivo identifica fatos, hipóteses e disclaimers</x:v>
      </x:c>
      <x:c r="L48" s="55" t="str">
        <x:v>T-REP-001</x:v>
      </x:c>
      <x:c r="M48" s="61" t="str">
        <x:v>Planejado</x:v>
      </x:c>
    </x:row>
    <x:row r="49" ht="15" hidden="0" customHeight="1">
      <x:c r="A49" s="60" t="str">
        <x:v>ST-047</x:v>
      </x:c>
      <x:c r="B49" s="55" t="str">
        <x:v>EP-24 Suporte</x:v>
      </x:c>
      <x:c r="C49" s="55" t="str">
        <x:v>V1 Starter - 45 dias</x:v>
      </x:c>
      <x:c r="D49" s="55" t="str">
        <x:v>Dias 39-40</x:v>
      </x:c>
      <x:c r="E49" s="55" t="str">
        <x:v>P1</x:v>
      </x:c>
      <x:c r="F49" s="55" t="str">
        <x:v>Criar suporte, SLA e base de ajuda</x:v>
      </x:c>
      <x:c r="G49" s="55" t="str">
        <x:v>Lilian / Fernando</x:v>
      </x:c>
      <x:c r="H49" s="55" t="str">
        <x:v>REQ-037</x:v>
      </x:c>
      <x:c r="I49" s="55" t="str">
        <x:v>ST-040</x:v>
      </x:c>
      <x:c r="J49" s="55" t="str">
        <x:v>8h</x:v>
      </x:c>
      <x:c r="K49" s="55" t="str">
        <x:v>Ticket com prioridade, owner e comunicação</x:v>
      </x:c>
      <x:c r="L49" s="55" t="str">
        <x:v>T-SUP-001</x:v>
      </x:c>
      <x:c r="M49" s="61" t="str">
        <x:v>Planejado</x:v>
      </x:c>
    </x:row>
    <x:row r="50" ht="26.399999618530273" hidden="0" customHeight="1">
      <x:c r="A50" s="60" t="str">
        <x:v>ST-048</x:v>
      </x:c>
      <x:c r="B50" s="55" t="str">
        <x:v>EP-25 Analytics</x:v>
      </x:c>
      <x:c r="C50" s="55" t="str">
        <x:v>V1 Starter - 45 dias</x:v>
      </x:c>
      <x:c r="D50" s="55" t="str">
        <x:v>Dias 40-41</x:v>
      </x:c>
      <x:c r="E50" s="55" t="str">
        <x:v>P1</x:v>
      </x:c>
      <x:c r="F50" s="55" t="str">
        <x:v>Criar analytics comercial e operacional</x:v>
      </x:c>
      <x:c r="G50" s="55" t="str">
        <x:v>Hudson / Tatyanne / Lilian / Fernando</x:v>
      </x:c>
      <x:c r="H50" s="55" t="str">
        <x:v>REQ-038</x:v>
      </x:c>
      <x:c r="I50" s="55" t="str">
        <x:v>ST-037, ST-044</x:v>
      </x:c>
      <x:c r="J50" s="55" t="str">
        <x:v>10h</x:v>
      </x:c>
      <x:c r="K50" s="55" t="str">
        <x:v>Métricas reais separadas de projeções</x:v>
      </x:c>
      <x:c r="L50" s="55" t="str">
        <x:v>T-ANA-001</x:v>
      </x:c>
      <x:c r="M50" s="61" t="str">
        <x:v>Planejado</x:v>
      </x:c>
    </x:row>
    <x:row r="51" ht="15" hidden="0" customHeight="1">
      <x:c r="A51" s="60" t="str">
        <x:v>ST-049</x:v>
      </x:c>
      <x:c r="B51" s="55" t="str">
        <x:v>EP-17 Operação</x:v>
      </x:c>
      <x:c r="C51" s="55" t="str">
        <x:v>V1 Starter - 45 dias</x:v>
      </x:c>
      <x:c r="D51" s="55" t="str">
        <x:v>Dias 41-42</x:v>
      </x:c>
      <x:c r="E51" s="55" t="str">
        <x:v>P0</x:v>
      </x:c>
      <x:c r="F51" s="55" t="str">
        <x:v>Finalizar runbooks de incidente, suporte e continuidade</x:v>
      </x:c>
      <x:c r="G51" s="55" t="str">
        <x:v>Lilian / Fernando</x:v>
      </x:c>
      <x:c r="H51" s="55" t="str">
        <x:v>REQ-028, REQ-037</x:v>
      </x:c>
      <x:c r="I51" s="55" t="str">
        <x:v>ST-035, ST-047</x:v>
      </x:c>
      <x:c r="J51" s="55" t="str">
        <x:v>8h</x:v>
      </x:c>
      <x:c r="K51" s="55" t="str">
        <x:v>Incidentes P0-P3 possuem fluxo e contatos</x:v>
      </x:c>
      <x:c r="L51" s="55" t="str">
        <x:v>T-OPS-003</x:v>
      </x:c>
      <x:c r="M51" s="61" t="str">
        <x:v>Planejado</x:v>
      </x:c>
    </x:row>
    <x:row r="52" ht="15" hidden="0" customHeight="1">
      <x:c r="A52" s="60" t="str">
        <x:v>ST-050</x:v>
      </x:c>
      <x:c r="B52" s="55" t="str">
        <x:v>EP-26 Lançamento</x:v>
      </x:c>
      <x:c r="C52" s="55" t="str">
        <x:v>V1 Starter - 45 dias</x:v>
      </x:c>
      <x:c r="D52" s="55" t="str">
        <x:v>Dias 42-43</x:v>
      </x:c>
      <x:c r="E52" s="55" t="str">
        <x:v>P0</x:v>
      </x:c>
      <x:c r="F52" s="55" t="str">
        <x:v>Executar checklist de segurança, LGPD e operação</x:v>
      </x:c>
      <x:c r="G52" s="55" t="str">
        <x:v>Hudson / Lilian / Fernando</x:v>
      </x:c>
      <x:c r="H52" s="55" t="str">
        <x:v>REQ-001 a REQ-038</x:v>
      </x:c>
      <x:c r="I52" s="55" t="str">
        <x:v>ST-049</x:v>
      </x:c>
      <x:c r="J52" s="55" t="str">
        <x:v>10h</x:v>
      </x:c>
      <x:c r="K52" s="55" t="str">
        <x:v>Nenhum item P0 pendente</x:v>
      </x:c>
      <x:c r="L52" s="55" t="str">
        <x:v>T-LAUNCH-001</x:v>
      </x:c>
      <x:c r="M52" s="61" t="str">
        <x:v>Planejado</x:v>
      </x:c>
    </x:row>
    <x:row r="53" ht="15" hidden="0" customHeight="1">
      <x:c r="A53" s="60" t="str">
        <x:v>ST-051</x:v>
      </x:c>
      <x:c r="B53" s="55" t="str">
        <x:v>EP-18 Piloto</x:v>
      </x:c>
      <x:c r="C53" s="55" t="str">
        <x:v>V1 Starter - 45 dias</x:v>
      </x:c>
      <x:c r="D53" s="55" t="str">
        <x:v>Dias 42-44</x:v>
      </x:c>
      <x:c r="E53" s="55" t="str">
        <x:v>P1</x:v>
      </x:c>
      <x:c r="F53" s="55" t="str">
        <x:v>Preparar ondas 2 e 3 do piloto até 65 empresas</x:v>
      </x:c>
      <x:c r="G53" s="55" t="str">
        <x:v>Hudson / Tatyanne</x:v>
      </x:c>
      <x:c r="H53" s="55" t="str">
        <x:v>REQ-029</x:v>
      </x:c>
      <x:c r="I53" s="55" t="str">
        <x:v>ST-038, ST-048</x:v>
      </x:c>
      <x:c r="J53" s="55" t="str">
        <x:v>8h</x:v>
      </x:c>
      <x:c r="K53" s="55" t="str">
        <x:v>Convites, capacidade e suporte dimensionados</x:v>
      </x:c>
      <x:c r="L53" s="55" t="str">
        <x:v>T-PIL-003</x:v>
      </x:c>
      <x:c r="M53" s="61" t="str">
        <x:v>Planejado</x:v>
      </x:c>
    </x:row>
    <x:row r="54" ht="15" hidden="0" customHeight="1">
      <x:c r="A54" s="60" t="str">
        <x:v>ST-052</x:v>
      </x:c>
      <x:c r="B54" s="55" t="str">
        <x:v>EP-16 Admin</x:v>
      </x:c>
      <x:c r="C54" s="55" t="str">
        <x:v>V1 Starter - 45 dias</x:v>
      </x:c>
      <x:c r="D54" s="55" t="str">
        <x:v>Dias 42-43</x:v>
      </x:c>
      <x:c r="E54" s="55" t="str">
        <x:v>P1</x:v>
      </x:c>
      <x:c r="F54" s="55" t="str">
        <x:v>Completar feature flags e kill switches</x:v>
      </x:c>
      <x:c r="G54" s="55" t="str">
        <x:v>Fernando</x:v>
      </x:c>
      <x:c r="H54" s="55" t="str">
        <x:v>REQ-026</x:v>
      </x:c>
      <x:c r="I54" s="55" t="str">
        <x:v>ST-032</x:v>
      </x:c>
      <x:c r="J54" s="55" t="str">
        <x:v>6h</x:v>
      </x:c>
      <x:c r="K54" s="55" t="str">
        <x:v>Módulo tributário pode ser desativado sem deploy</x:v>
      </x:c>
      <x:c r="L54" s="55" t="str">
        <x:v>T-ADM-002</x:v>
      </x:c>
      <x:c r="M54" s="61" t="str">
        <x:v>Planejado</x:v>
      </x:c>
    </x:row>
    <x:row r="55" ht="15" hidden="0" customHeight="1">
      <x:c r="A55" s="60" t="str">
        <x:v>ST-053</x:v>
      </x:c>
      <x:c r="B55" s="55" t="str">
        <x:v>EP-03 Privacidade</x:v>
      </x:c>
      <x:c r="C55" s="55" t="str">
        <x:v>V1 Starter - 45 dias</x:v>
      </x:c>
      <x:c r="D55" s="55" t="str">
        <x:v>Dias 43-44</x:v>
      </x:c>
      <x:c r="E55" s="55" t="str">
        <x:v>P1</x:v>
      </x:c>
      <x:c r="F55" s="55" t="str">
        <x:v>Automatizar retenção e expiração de dados</x:v>
      </x:c>
      <x:c r="G55" s="55" t="str">
        <x:v>Lilian / Fernando</x:v>
      </x:c>
      <x:c r="H55" s="55" t="str">
        <x:v>REQ-022</x:v>
      </x:c>
      <x:c r="I55" s="55" t="str">
        <x:v>ST-034</x:v>
      </x:c>
      <x:c r="J55" s="55" t="str">
        <x:v>8h</x:v>
      </x:c>
      <x:c r="K55" s="55" t="str">
        <x:v>Job respeita política e preserva auditoria legal</x:v>
      </x:c>
      <x:c r="L55" s="55" t="str">
        <x:v>T-LGPD-003</x:v>
      </x:c>
      <x:c r="M55" s="61" t="str">
        <x:v>Planejado</x:v>
      </x:c>
    </x:row>
    <x:row r="56" ht="15" hidden="0" customHeight="1">
      <x:c r="A56" s="60" t="str">
        <x:v>ST-054</x:v>
      </x:c>
      <x:c r="B56" s="55" t="str">
        <x:v>EP-27 API/Docs</x:v>
      </x:c>
      <x:c r="C56" s="55" t="str">
        <x:v>V1 Starter - 45 dias</x:v>
      </x:c>
      <x:c r="D56" s="55" t="str">
        <x:v>Dias 43-44</x:v>
      </x:c>
      <x:c r="E56" s="55" t="str">
        <x:v>P1</x:v>
      </x:c>
      <x:c r="F56" s="55" t="str">
        <x:v>Publicar OpenAPI e documentação operacional</x:v>
      </x:c>
      <x:c r="G56" s="55" t="str">
        <x:v>Fernando</x:v>
      </x:c>
      <x:c r="H56" s="55" t="str">
        <x:v>REQ-001</x:v>
      </x:c>
      <x:c r="I56" s="55" t="str">
        <x:v>ST-050</x:v>
      </x:c>
      <x:c r="J56" s="55" t="str">
        <x:v>8h</x:v>
      </x:c>
      <x:c r="K56" s="55" t="str">
        <x:v>Contratos, erros e autenticação documentados</x:v>
      </x:c>
      <x:c r="L56" s="55" t="str">
        <x:v>T-API-001</x:v>
      </x:c>
      <x:c r="M56" s="61" t="str">
        <x:v>Planejado</x:v>
      </x:c>
    </x:row>
    <x:row r="57" ht="15" hidden="0" customHeight="1">
      <x:c r="A57" s="62" t="str">
        <x:v>ST-055</x:v>
      </x:c>
      <x:c r="B57" s="63" t="str">
        <x:v>EP-26 Lançamento</x:v>
      </x:c>
      <x:c r="C57" s="63" t="str">
        <x:v>V1 Starter - 45 dias</x:v>
      </x:c>
      <x:c r="D57" s="63" t="str">
        <x:v>Dia 45</x:v>
      </x:c>
      <x:c r="E57" s="63" t="str">
        <x:v>P0</x:v>
      </x:c>
      <x:c r="F57" s="63" t="str">
        <x:v>Gate final, go/no-go e relatório de release Starter</x:v>
      </x:c>
      <x:c r="G57" s="63" t="str">
        <x:v>Diretoria</x:v>
      </x:c>
      <x:c r="H57" s="63" t="str">
        <x:v>REQ-038</x:v>
      </x:c>
      <x:c r="I57" s="63" t="str">
        <x:v>ST-050, ST-051, ST-054</x:v>
      </x:c>
      <x:c r="J57" s="63" t="str">
        <x:v>6h</x:v>
      </x:c>
      <x:c r="K57" s="63" t="str">
        <x:v>Decisão formal com riscos residuais e owners</x:v>
      </x:c>
      <x:c r="L57" s="63" t="str">
        <x:v>T-LAUNCH-002</x:v>
      </x:c>
      <x:c r="M57" s="64" t="str">
        <x:v>Planejado</x:v>
      </x:c>
    </x:row>
  </x:sheetData>
  <x:mergeCells>
    <x:mergeCell ref="A1:M1"/>
  </x:mergeCells>
  <x:dataValidations count="2">
    <x:dataValidation type="list" sqref="E3:E200">
      <x:formula1>"P0,P1,P2"</x:formula1>
    </x:dataValidation>
    <x:dataValidation type="list" sqref="M3:M200">
      <x:formula1>"Planejado,Em andamento,Bloqueado,Concluído"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0b0e94e65f4f1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16" hidden="0" customWidth="1"/>
    <x:col min="5" max="5" width="14" hidden="0" customWidth="1"/>
    <x:col min="6" max="6" width="14" hidden="0" customWidth="1"/>
    <x:col min="7" max="7" width="42" hidden="0" customWidth="1"/>
    <x:col min="8" max="8" width="24" hidden="0" customWidth="1"/>
    <x:col min="9" max="9" width="32" hidden="0" customWidth="1"/>
    <x:col min="10" max="10" width="36" hidden="0" customWidth="1"/>
  </x:cols>
  <x:sheetData>
    <x:row r="1" ht="19.200000762939453" hidden="0" customHeight="1">
      <x:c r="A1" s="5" t="str">
        <x:v>Registro de riscos e contingências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15" hidden="0" customHeight="1">
      <x:c r="A2" s="57" t="str">
        <x:v>ID</x:v>
      </x:c>
      <x:c r="B2" s="58" t="str">
        <x:v>Categoria</x:v>
      </x:c>
      <x:c r="C2" s="58" t="str">
        <x:v>Risco</x:v>
      </x:c>
      <x:c r="D2" s="58" t="str">
        <x:v>Probabilidade</x:v>
      </x:c>
      <x:c r="E2" s="58" t="str">
        <x:v>Impacto</x:v>
      </x:c>
      <x:c r="F2" s="58" t="str">
        <x:v>Nível</x:v>
      </x:c>
      <x:c r="G2" s="58" t="str">
        <x:v>Mitigação</x:v>
      </x:c>
      <x:c r="H2" s="58" t="str">
        <x:v>Owner</x:v>
      </x:c>
      <x:c r="I2" s="58" t="str">
        <x:v>Gatilho</x:v>
      </x:c>
      <x:c r="J2" s="59" t="str">
        <x:v>Contingência</x:v>
      </x:c>
    </x:row>
    <x:row r="3" ht="26.399999618530273" hidden="0" customHeight="1">
      <x:c r="A3" s="60" t="str">
        <x:v>R-001</x:v>
      </x:c>
      <x:c r="B3" s="55" t="str">
        <x:v>Escopo</x:v>
      </x:c>
      <x:c r="C3" s="55" t="str">
        <x:v>Escopo maior que a capacidade de 5/30/45 dias</x:v>
      </x:c>
      <x:c r="D3" s="55" t="str">
        <x:v>Alta</x:v>
      </x:c>
      <x:c r="E3" s="55" t="str">
        <x:v>Crítico</x:v>
      </x:c>
      <x:c r="F3" s="55" t="str">
        <x:v>Crítico</x:v>
      </x:c>
      <x:c r="G3" s="55" t="str">
        <x:v>Corte rígido por milestone; feature flags; nenhuma expansão sem ADR</x:v>
      </x:c>
      <x:c r="H3" s="55" t="str">
        <x:v>Hudson</x:v>
      </x:c>
      <x:c r="I3" s="55" t="str">
        <x:v>Nova funcionalidade solicitada fora do corte</x:v>
      </x:c>
      <x:c r="J3" s="61" t="str">
        <x:v>Adiar para backlog pós-Starter</x:v>
      </x:c>
    </x:row>
    <x:row r="4" ht="26.399999618530273" hidden="0" customHeight="1">
      <x:c r="A4" s="60" t="str">
        <x:v>R-002</x:v>
      </x:c>
      <x:c r="B4" s="55" t="str">
        <x:v>Tributário</x:v>
      </x:c>
      <x:c r="C4" s="55" t="str">
        <x:v>Usuário interpretar triagem como garantia de crédito</x:v>
      </x:c>
      <x:c r="D4" s="55" t="str">
        <x:v>Média</x:v>
      </x:c>
      <x:c r="E4" s="55" t="str">
        <x:v>Crítico</x:v>
      </x:c>
      <x:c r="F4" s="55" t="str">
        <x:v>Crítico</x:v>
      </x:c>
      <x:c r="G4" s="55" t="str">
        <x:v>Linguagem segura, disclaimer, humano no loop, bloqueios e revisão jurídica</x:v>
      </x:c>
      <x:c r="H4" s="55" t="str">
        <x:v>Lilian / Especialista</x:v>
      </x:c>
      <x:c r="I4" s="55" t="str">
        <x:v>Uso de termos garantidores ou reclamação</x:v>
      </x:c>
      <x:c r="J4" s="61" t="str">
        <x:v>Suspender módulo e revisar comunicação</x:v>
      </x:c>
    </x:row>
    <x:row r="5" ht="26.399999618530273" hidden="0" customHeight="1">
      <x:c r="A5" s="60" t="str">
        <x:v>R-003</x:v>
      </x:c>
      <x:c r="B5" s="55" t="str">
        <x:v>Conflito comercial</x:v>
      </x:c>
      <x:c r="C5" s="55" t="str">
        <x:v>Patrocínio da Unique contaminar recomendação</x:v>
      </x:c>
      <x:c r="D5" s="55" t="str">
        <x:v>Média</x:v>
      </x:c>
      <x:c r="E5" s="55" t="str">
        <x:v>Alto</x:v>
      </x:c>
      <x:c r="F5" s="55" t="str">
        <x:v>Alto</x:v>
      </x:c>
      <x:c r="G5" s="55" t="str">
        <x:v>Disclosure; separar patrocínio do score; consentimento; critérios objetivos</x:v>
      </x:c>
      <x:c r="H5" s="55" t="str">
        <x:v>Tatyanne / Hudson</x:v>
      </x:c>
      <x:c r="I5" s="55" t="str">
        <x:v>Recomendação sem elegibilidade ou sem disclosure</x:v>
      </x:c>
      <x:c r="J5" s="61" t="str">
        <x:v>Desativar referral e revisar regra</x:v>
      </x:c>
    </x:row>
    <x:row r="6" ht="15" hidden="0" customHeight="1">
      <x:c r="A6" s="60" t="str">
        <x:v>R-004</x:v>
      </x:c>
      <x:c r="B6" s="55" t="str">
        <x:v>Dados</x:v>
      </x:c>
      <x:c r="C6" s="55" t="str">
        <x:v>Vazamento entre tenants</x:v>
      </x:c>
      <x:c r="D6" s="55" t="str">
        <x:v>Baixa</x:v>
      </x:c>
      <x:c r="E6" s="55" t="str">
        <x:v>Crítico</x:v>
      </x:c>
      <x:c r="F6" s="55" t="str">
        <x:v>Alto</x:v>
      </x:c>
      <x:c r="G6" s="55" t="str">
        <x:v>RLS obrigatória, testes negativos, deny-by-default e logs</x:v>
      </x:c>
      <x:c r="H6" s="55" t="str">
        <x:v>Fernando</x:v>
      </x:c>
      <x:c r="I6" s="55" t="str">
        <x:v>Qualquer acesso cruzado</x:v>
      </x:c>
      <x:c r="J6" s="61" t="str">
        <x:v>Bloquear release e executar incidente P0</x:v>
      </x:c>
    </x:row>
    <x:row r="7" ht="26.399999618530273" hidden="0" customHeight="1">
      <x:c r="A7" s="60" t="str">
        <x:v>R-005</x:v>
      </x:c>
      <x:c r="B7" s="55" t="str">
        <x:v>Cronograma</x:v>
      </x:c>
      <x:c r="C7" s="55" t="str">
        <x:v>Ausência de desenvolvedor sênior full-time</x:v>
      </x:c>
      <x:c r="D7" s="55" t="str">
        <x:v>Alta</x:v>
      </x:c>
      <x:c r="E7" s="55" t="str">
        <x:v>Alto</x:v>
      </x:c>
      <x:c r="F7" s="55" t="str">
        <x:v>Alto</x:v>
      </x:c>
      <x:c r="G7" s="55" t="str">
        <x:v>Assumir 1 full-stack sênior; reduzir escopo; usar serviços gerenciados</x:v>
      </x:c>
      <x:c r="H7" s="55" t="str">
        <x:v>Fernando</x:v>
      </x:c>
      <x:c r="I7" s="55" t="str">
        <x:v>Capacidade abaixo de 35h/semana</x:v>
      </x:c>
      <x:c r="J7" s="61" t="str">
        <x:v>Converter M0 em protótipo navegável</x:v>
      </x:c>
    </x:row>
    <x:row r="8" ht="26.399999618530273" hidden="0" customHeight="1">
      <x:c r="A8" s="60" t="str">
        <x:v>R-006</x:v>
      </x:c>
      <x:c r="B8" s="55" t="str">
        <x:v>Critérios</x:v>
      </x:c>
      <x:c r="C8" s="55" t="str">
        <x:v>Critérios tributários da Unique ainda não aprovados</x:v>
      </x:c>
      <x:c r="D8" s="55" t="str">
        <x:v>Alta</x:v>
      </x:c>
      <x:c r="E8" s="55" t="str">
        <x:v>Alto</x:v>
      </x:c>
      <x:c r="F8" s="55" t="str">
        <x:v>Alto</x:v>
      </x:c>
      <x:c r="G8" s="55" t="str">
        <x:v>Rules engine configurável; usar critérios fictícios na demo claramente marcados</x:v>
      </x:c>
      <x:c r="H8" s="55" t="str">
        <x:v>Especialista / Unique</x:v>
      </x:c>
      <x:c r="I8" s="55" t="str">
        <x:v>Critérios não recebidos até Dia 2</x:v>
      </x:c>
      <x:c r="J8" s="61" t="str">
        <x:v>Demo usa modo simulado sem encaminhamento real</x:v>
      </x:c>
    </x:row>
    <x:row r="9" ht="26.399999618530273" hidden="0" customHeight="1">
      <x:c r="A9" s="60" t="str">
        <x:v>R-007</x:v>
      </x:c>
      <x:c r="B9" s="55" t="str">
        <x:v>Legal/LGPD</x:v>
      </x:c>
      <x:c r="C9" s="55" t="str">
        <x:v>Compartilhamento de dados sem base e contrato</x:v>
      </x:c>
      <x:c r="D9" s="55" t="str">
        <x:v>Média</x:v>
      </x:c>
      <x:c r="E9" s="55" t="str">
        <x:v>Crítico</x:v>
      </x:c>
      <x:c r="F9" s="55" t="str">
        <x:v>Crítico</x:v>
      </x:c>
      <x:c r="G9" s="55" t="str">
        <x:v>DPA/contrato, consentimento, minimização e registro</x:v>
      </x:c>
      <x:c r="H9" s="55" t="str">
        <x:v>Lilian</x:v>
      </x:c>
      <x:c r="I9" s="55" t="str">
        <x:v>Ausência de contrato ou consentimento</x:v>
      </x:c>
      <x:c r="J9" s="61" t="str">
        <x:v>Não compartilhar; usar export manual anonimizado</x:v>
      </x:c>
    </x:row>
    <x:row r="10" ht="26.399999618530273" hidden="0" customHeight="1">
      <x:c r="A10" s="60" t="str">
        <x:v>R-008</x:v>
      </x:c>
      <x:c r="B10" s="55" t="str">
        <x:v>Adoção</x:v>
      </x:c>
      <x:c r="C10" s="55" t="str">
        <x:v>Empresas não concluem diagnóstico</x:v>
      </x:c>
      <x:c r="D10" s="55" t="str">
        <x:v>Média</x:v>
      </x:c>
      <x:c r="E10" s="55" t="str">
        <x:v>Alto</x:v>
      </x:c>
      <x:c r="F10" s="55" t="str">
        <x:v>Alto</x:v>
      </x:c>
      <x:c r="G10" s="55" t="str">
        <x:v>15 minutos, progressivo, salvamento e concierge na Onda 1</x:v>
      </x:c>
      <x:c r="H10" s="55" t="str">
        <x:v>Hudson</x:v>
      </x:c>
      <x:c r="I10" s="55" t="str">
        <x:v>Conclusão &lt;70%</x:v>
      </x:c>
      <x:c r="J10" s="61" t="str">
        <x:v>Reduzir perguntas e entrevistar desistentes</x:v>
      </x:c>
    </x:row>
    <x:row r="11" ht="26.399999618530273" hidden="0" customHeight="1">
      <x:c r="A11" s="60" t="str">
        <x:v>R-009</x:v>
      </x:c>
      <x:c r="B11" s="55" t="str">
        <x:v>Qualidade</x:v>
      </x:c>
      <x:c r="C11" s="55" t="str">
        <x:v>Score genérico ou não confiável</x:v>
      </x:c>
      <x:c r="D11" s="55" t="str">
        <x:v>Média</x:v>
      </x:c>
      <x:c r="E11" s="55" t="str">
        <x:v>Alto</x:v>
      </x:c>
      <x:c r="F11" s="55" t="str">
        <x:v>Alto</x:v>
      </x:c>
      <x:c r="G11" s="55" t="str">
        <x:v>Regras versionadas, explicação e revisão com casos reais</x:v>
      </x:c>
      <x:c r="H11" s="55" t="str">
        <x:v>Hudson</x:v>
      </x:c>
      <x:c r="I11" s="55" t="str">
        <x:v>Contestação &gt;20%</x:v>
      </x:c>
      <x:c r="J11" s="61" t="str">
        <x:v>Recalibrar antes da Onda 2</x:v>
      </x:c>
    </x:row>
    <x:row r="12" ht="15" hidden="0" customHeight="1">
      <x:c r="A12" s="60" t="str">
        <x:v>R-010</x:v>
      </x:c>
      <x:c r="B12" s="55" t="str">
        <x:v>IA</x:v>
      </x:c>
      <x:c r="C12" s="55" t="str">
        <x:v>Saída sem evidência ou alucinação</x:v>
      </x:c>
      <x:c r="D12" s="55" t="str">
        <x:v>Média</x:v>
      </x:c>
      <x:c r="E12" s="55" t="str">
        <x:v>Alto</x:v>
      </x:c>
      <x:c r="F12" s="55" t="str">
        <x:v>Alto</x:v>
      </x:c>
      <x:c r="G12" s="55" t="str">
        <x:v>Rules-first, templates, fontes, abstenção e evals</x:v>
      </x:c>
      <x:c r="H12" s="55" t="str">
        <x:v>Fernando</x:v>
      </x:c>
      <x:c r="I12" s="55" t="str">
        <x:v>Falha em teste crítico</x:v>
      </x:c>
      <x:c r="J12" s="61" t="str">
        <x:v>Desativar IA e usar saída determinística</x:v>
      </x:c>
    </x:row>
    <x:row r="13" ht="15" hidden="0" customHeight="1">
      <x:c r="A13" s="60" t="str">
        <x:v>R-011</x:v>
      </x:c>
      <x:c r="B13" s="55" t="str">
        <x:v>Operação</x:v>
      </x:c>
      <x:c r="C13" s="55" t="str">
        <x:v>Unique não atender referrals no SLA</x:v>
      </x:c>
      <x:c r="D13" s="55" t="str">
        <x:v>Média</x:v>
      </x:c>
      <x:c r="E13" s="55" t="str">
        <x:v>Alto</x:v>
      </x:c>
      <x:c r="F13" s="55" t="str">
        <x:v>Alto</x:v>
      </x:c>
      <x:c r="G13" s="55" t="str">
        <x:v>SLA contratual, capacidade, fila e escalonamento</x:v>
      </x:c>
      <x:c r="H13" s="55" t="str">
        <x:v>Tatyanne</x:v>
      </x:c>
      <x:c r="I13" s="55" t="str">
        <x:v>Primeiro contato acima do SLA</x:v>
      </x:c>
      <x:c r="J13" s="61" t="str">
        <x:v>Pausar novos referrals</x:v>
      </x:c>
    </x:row>
    <x:row r="14" ht="15" hidden="0" customHeight="1">
      <x:c r="A14" s="60" t="str">
        <x:v>R-012</x:v>
      </x:c>
      <x:c r="B14" s="55" t="str">
        <x:v>Economia</x:v>
      </x:c>
      <x:c r="C14" s="55" t="str">
        <x:v>Custo de suporte/IA inviabilizar planos</x:v>
      </x:c>
      <x:c r="D14" s="55" t="str">
        <x:v>Média</x:v>
      </x:c>
      <x:c r="E14" s="55" t="str">
        <x:v>Médio</x:v>
      </x:c>
      <x:c r="F14" s="55" t="str">
        <x:v>Médio</x:v>
      </x:c>
      <x:c r="G14" s="55" t="str">
        <x:v>FinOps, custo por ciclo e limites por plano</x:v>
      </x:c>
      <x:c r="H14" s="55" t="str">
        <x:v>Lilian / Fernando</x:v>
      </x:c>
      <x:c r="I14" s="55" t="str">
        <x:v>Margem de contribuição negativa</x:v>
      </x:c>
      <x:c r="J14" s="61" t="str">
        <x:v>Reprecificar ou limitar uso</x:v>
      </x:c>
    </x:row>
    <x:row r="15" ht="15" hidden="0" customHeight="1">
      <x:c r="A15" s="60" t="str">
        <x:v>R-013</x:v>
      </x:c>
      <x:c r="B15" s="55" t="str">
        <x:v>Versões</x:v>
      </x:c>
      <x:c r="C15" s="55" t="str">
        <x:v>Documentos divergentes orientarem implementação</x:v>
      </x:c>
      <x:c r="D15" s="55" t="str">
        <x:v>Média</x:v>
      </x:c>
      <x:c r="E15" s="55" t="str">
        <x:v>Alto</x:v>
      </x:c>
      <x:c r="F15" s="55" t="str">
        <x:v>Alto</x:v>
      </x:c>
      <x:c r="G15" s="55" t="str">
        <x:v>Registro canônico e docs-as-code</x:v>
      </x:c>
      <x:c r="H15" s="55" t="str">
        <x:v>Hudson / Fernando</x:v>
      </x:c>
      <x:c r="I15" s="55" t="str">
        <x:v>Mudança sem versionamento</x:v>
      </x:c>
      <x:c r="J15" s="61" t="str">
        <x:v>Rollback documental</x:v>
      </x:c>
    </x:row>
    <x:row r="16" ht="15" hidden="0" customHeight="1">
      <x:c r="A16" s="60" t="str">
        <x:v>R-014</x:v>
      </x:c>
      <x:c r="B16" s="55" t="str">
        <x:v>Segurança</x:v>
      </x:c>
      <x:c r="C16" s="55" t="str">
        <x:v>Upload malicioso em Tax Room</x:v>
      </x:c>
      <x:c r="D16" s="55" t="str">
        <x:v>Média</x:v>
      </x:c>
      <x:c r="E16" s="55" t="str">
        <x:v>Alto</x:v>
      </x:c>
      <x:c r="F16" s="55" t="str">
        <x:v>Alto</x:v>
      </x:c>
      <x:c r="G16" s="55" t="str">
        <x:v>Tipos permitidos, signed URLs, antivírus e quarentena</x:v>
      </x:c>
      <x:c r="H16" s="55" t="str">
        <x:v>Fernando</x:v>
      </x:c>
      <x:c r="I16" s="55" t="str">
        <x:v>Arquivo suspeito</x:v>
      </x:c>
      <x:c r="J16" s="61" t="str">
        <x:v>Bloquear download e investigar</x:v>
      </x:c>
    </x:row>
    <x:row r="17" ht="26.399999618530273" hidden="0" customHeight="1">
      <x:c r="A17" s="62" t="str">
        <x:v>R-015</x:v>
      </x:c>
      <x:c r="B17" s="63" t="str">
        <x:v>Reputação</x:v>
      </x:c>
      <x:c r="C17" s="63" t="str">
        <x:v>Apresentar parceria ou resultado não comprovado como fato</x:v>
      </x:c>
      <x:c r="D17" s="63" t="str">
        <x:v>Média</x:v>
      </x:c>
      <x:c r="E17" s="63" t="str">
        <x:v>Alto</x:v>
      </x:c>
      <x:c r="F17" s="63" t="str">
        <x:v>Alto</x:v>
      </x:c>
      <x:c r="G17" s="63" t="str">
        <x:v>Registro de verdade e aprovação de comunicação</x:v>
      </x:c>
      <x:c r="H17" s="63" t="str">
        <x:v>Hudson / Tatyanne</x:v>
      </x:c>
      <x:c r="I17" s="63" t="str">
        <x:v>Material externo não aprovado</x:v>
      </x:c>
      <x:c r="J17" s="64" t="str">
        <x:v>Retirar material e corrigir publicamente</x:v>
      </x:c>
    </x:row>
  </x:sheetData>
  <x:mergeCells>
    <x:mergeCell ref="A1:J1"/>
  </x:mergeCells>
  <x:conditionalFormatting sqref="F3:F100">
    <x:cfRule type="expression" dxfId="0" priority="1">
      <x:formula>F3="Crítico"</x:formula>
    </x:cfRule>
    <x:cfRule type="expression" dxfId="1" priority="2">
      <x:formula>F3="Alto"</x:formula>
    </x:cfRule>
  </x:conditionalFormatting>
  <x:dataValidations count="2">
    <x:dataValidation type="list" sqref="D3:D100">
      <x:formula1>"Baixa,Média,Alta"</x:formula1>
    </x:dataValidation>
    <x:dataValidation type="list" sqref="E3:F100">
      <x:formula1>"Baixo,Médio,Alto,Crítico"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4b425f16a547c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8" hidden="0" customWidth="1"/>
    <x:col min="4" max="4" width="14" hidden="0" customWidth="1"/>
    <x:col min="5" max="5" width="48" hidden="0" customWidth="1"/>
    <x:col min="6" max="6" width="32" hidden="0" customWidth="1"/>
    <x:col min="7" max="7" width="42" hidden="0" customWidth="1"/>
    <x:col min="8" max="8" width="42" hidden="0" customWidth="1"/>
    <x:col min="9" max="9" width="24" hidden="0" customWidth="1"/>
  </x:cols>
  <x:sheetData>
    <x:row r="1" ht="19.200000762939453" hidden="0" customHeight="1">
      <x:c r="A1" s="5" t="str">
        <x:v>Architecture Decision Records — decisões vigentes</x:v>
      </x:c>
      <x:c r="B1" s="5"/>
      <x:c r="C1" s="5"/>
      <x:c r="D1" s="5"/>
      <x:c r="E1" s="5"/>
      <x:c r="F1" s="5"/>
      <x:c r="G1" s="5"/>
      <x:c r="H1" s="5"/>
      <x:c r="I1" s="5"/>
    </x:row>
    <x:row r="2" ht="15" hidden="0" customHeight="1">
      <x:c r="A2" s="57" t="str">
        <x:v>ID</x:v>
      </x:c>
      <x:c r="B2" s="58" t="str">
        <x:v>Título</x:v>
      </x:c>
      <x:c r="C2" s="58" t="str">
        <x:v>Status</x:v>
      </x:c>
      <x:c r="D2" s="58" t="str">
        <x:v>Data</x:v>
      </x:c>
      <x:c r="E2" s="58" t="str">
        <x:v>Decisão</x:v>
      </x:c>
      <x:c r="F2" s="58" t="str">
        <x:v>Alternativas</x:v>
      </x:c>
      <x:c r="G2" s="58" t="str">
        <x:v>Racional</x:v>
      </x:c>
      <x:c r="H2" s="58" t="str">
        <x:v>Consequências</x:v>
      </x:c>
      <x:c r="I2" s="59" t="str">
        <x:v>Owner</x:v>
      </x:c>
    </x:row>
    <x:row r="3" ht="26.399999618530273" hidden="0" customHeight="1">
      <x:c r="A3" s="60" t="str">
        <x:v>ADR-001</x:v>
      </x:c>
      <x:c r="B3" s="55" t="str">
        <x:v>Arquitetura de entrega rápida</x:v>
      </x:c>
      <x:c r="C3" s="55" t="str">
        <x:v>Aceito</x:v>
      </x:c>
      <x:c r="D3" s="55" t="str">
        <x:v>25/06/2026</x:v>
      </x:c>
      <x:c r="E3" s="55" t="str">
        <x:v>M0-M1 usar monólito modular Next.js/TypeScript com PostgreSQL/Auth/Storage gerenciados e API versionada</x:v>
      </x:c>
      <x:c r="F3" s="55" t="str">
        <x:v>NestJS separado; no-code integral</x:v>
      </x:c>
      <x:c r="G3" s="55" t="str">
        <x:v>Menor tempo de entrega preservando fronteiras e migração futura</x:v>
      </x:c>
      <x:c r="H3" s="55" t="str">
        <x:v>Menos separação inicial entre frontend/backend; exige disciplina modular</x:v>
      </x:c>
      <x:c r="I3" s="61" t="str">
        <x:v>Fernando</x:v>
      </x:c>
    </x:row>
    <x:row r="4" ht="26.399999618530273" hidden="0" customHeight="1">
      <x:c r="A4" s="60" t="str">
        <x:v>ADR-002</x:v>
      </x:c>
      <x:c r="B4" s="55" t="str">
        <x:v>Tenancy</x:v>
      </x:c>
      <x:c r="C4" s="55" t="str">
        <x:v>Aceito</x:v>
      </x:c>
      <x:c r="D4" s="55" t="str">
        <x:v>25/06/2026</x:v>
      </x:c>
      <x:c r="E4" s="55" t="str">
        <x:v>Banco/schema compartilhado com tenant_id e RLS obrigatória em toda tabela tenant-owned</x:v>
      </x:c>
      <x:c r="F4" s="55" t="str">
        <x:v>RLS opcional; banco por tenant</x:v>
      </x:c>
      <x:c r="G4" s="55" t="str">
        <x:v>Rapidez e segurança verificável no estágio atual</x:v>
      </x:c>
      <x:c r="H4" s="55" t="str">
        <x:v>Testes de política são release blocker</x:v>
      </x:c>
      <x:c r="I4" s="61" t="str">
        <x:v>Fernando</x:v>
      </x:c>
    </x:row>
    <x:row r="5" ht="26.399999618530273" hidden="0" customHeight="1">
      <x:c r="A5" s="60" t="str">
        <x:v>ADR-003</x:v>
      </x:c>
      <x:c r="B5" s="55" t="str">
        <x:v>CTO-Tax no M0</x:v>
      </x:c>
      <x:c r="C5" s="55" t="str">
        <x:v>Aceito</x:v>
      </x:c>
      <x:c r="D5" s="55" t="str">
        <x:v>25/06/2026</x:v>
      </x:c>
      <x:c r="E5" s="55" t="str">
        <x:v>Rules-first e revisão humana; sem cálculo de crédito, compensação ou execução automática</x:v>
      </x:c>
      <x:c r="F5" s="55" t="str">
        <x:v>Agente autônomo; estimativa monetária</x:v>
      </x:c>
      <x:c r="G5" s="55" t="str">
        <x:v>Reduz risco jurídico e aumenta estabilidade da demo</x:v>
      </x:c>
      <x:c r="H5" s="55" t="str">
        <x:v>Menor sofisticação aparente</x:v>
      </x:c>
      <x:c r="I5" s="61" t="str">
        <x:v>Hudson / Especialista</x:v>
      </x:c>
    </x:row>
    <x:row r="6" ht="26.399999618530273" hidden="0" customHeight="1">
      <x:c r="A6" s="60" t="str">
        <x:v>ADR-004</x:v>
      </x:c>
      <x:c r="B6" s="55" t="str">
        <x:v>Unique como patrocinadora</x:v>
      </x:c>
      <x:c r="C6" s="55" t="str">
        <x:v>Aceito condicionado</x:v>
      </x:c>
      <x:c r="D6" s="55" t="str">
        <x:v>25/06/2026</x:v>
      </x:c>
      <x:c r="E6" s="55" t="str">
        <x:v>Unique é parceira patrocinadora de lançamento, exibida com disclosure; referral só após elegibilidade e consentimento</x:v>
      </x:c>
      <x:c r="F6" s="55" t="str">
        <x:v>Recomendação automática/exclusiva sem disclosure</x:v>
      </x:c>
      <x:c r="G6" s="55" t="str">
        <x:v>Permite demonstração comercial sem corromper integridade</x:v>
      </x:c>
      <x:c r="H6" s="55" t="str">
        <x:v>Contrato e critérios ainda pendentes</x:v>
      </x:c>
      <x:c r="I6" s="61" t="str">
        <x:v>Tatyanne / Lilian</x:v>
      </x:c>
    </x:row>
    <x:row r="7" ht="26.399999618530273" hidden="0" customHeight="1">
      <x:c r="A7" s="60" t="str">
        <x:v>ADR-005</x:v>
      </x:c>
      <x:c r="B7" s="55" t="str">
        <x:v>Ranking</x:v>
      </x:c>
      <x:c r="C7" s="55" t="str">
        <x:v>Aceito</x:v>
      </x:c>
      <x:c r="D7" s="55" t="str">
        <x:v>25/06/2026</x:v>
      </x:c>
      <x:c r="E7" s="55" t="str">
        <x:v>Plano e patrocínio ficam fora do ranking orgânico; mídia patrocinada é separada e rotulada</x:v>
      </x:c>
      <x:c r="F7" s="55" t="str">
        <x:v>Peso de 10% para plano</x:v>
      </x:c>
      <x:c r="G7" s="55" t="str">
        <x:v>Resolve contradição entre monetização e confiança</x:v>
      </x:c>
      <x:c r="H7" s="55" t="str">
        <x:v>Pode reduzir incentivo de plano de parceiro; compensar com benefícios não reputacionais</x:v>
      </x:c>
      <x:c r="I7" s="61" t="str">
        <x:v>Hudson</x:v>
      </x:c>
    </x:row>
    <x:row r="8" ht="26.399999618530273" hidden="0" customHeight="1">
      <x:c r="A8" s="60" t="str">
        <x:v>ADR-006</x:v>
      </x:c>
      <x:c r="B8" s="55" t="str">
        <x:v>Outcome Graph</x:v>
      </x:c>
      <x:c r="C8" s="55" t="str">
        <x:v>Aceito</x:v>
      </x:c>
      <x:c r="D8" s="55" t="str">
        <x:v>25/06/2026</x:v>
      </x:c>
      <x:c r="E8" s="55" t="str">
        <x:v>Starter registra associações e contribuição, sem afirmar causalidade ou usar predição avançada</x:v>
      </x:c>
      <x:c r="F8" s="55" t="str">
        <x:v>Causalidade automática</x:v>
      </x:c>
      <x:c r="G8" s="55" t="str">
        <x:v>Evita conclusões indevidas com pouca amostra</x:v>
      </x:c>
      <x:c r="H8" s="55" t="str">
        <x:v>Valor preditivo adiado</x:v>
      </x:c>
      <x:c r="I8" s="61" t="str">
        <x:v>Hudson / Fernando</x:v>
      </x:c>
    </x:row>
    <x:row r="9" ht="15" hidden="0" customHeight="1">
      <x:c r="A9" s="60" t="str">
        <x:v>ADR-007</x:v>
      </x:c>
      <x:c r="B9" s="55" t="str">
        <x:v>Bronze</x:v>
      </x:c>
      <x:c r="C9" s="55" t="str">
        <x:v>Aceito</x:v>
      </x:c>
      <x:c r="D9" s="55" t="str">
        <x:v>25/06/2026</x:v>
      </x:c>
      <x:c r="E9" s="55" t="str">
        <x:v>Bronze inclui ciclo essencial de 30 dias após diagnóstico</x:v>
      </x:c>
      <x:c r="F9" s="55" t="str">
        <x:v>Diagnóstico anual isolado</x:v>
      </x:c>
      <x:c r="G9" s="55" t="str">
        <x:v>Preserva promessa de inteligência contínua</x:v>
      </x:c>
      <x:c r="H9" s="55" t="str">
        <x:v>Aumenta custo de serviço; precisa ser medido</x:v>
      </x:c>
      <x:c r="I9" s="61" t="str">
        <x:v>Hudson / Lilian</x:v>
      </x:c>
    </x:row>
    <x:row r="10" ht="26.399999618530273" hidden="0" customHeight="1">
      <x:c r="A10" s="60" t="str">
        <x:v>ADR-008</x:v>
      </x:c>
      <x:c r="B10" s="55" t="str">
        <x:v>BEE4 e Capital Readiness</x:v>
      </x:c>
      <x:c r="C10" s="55" t="str">
        <x:v>Aceito</x:v>
      </x:c>
      <x:c r="D10" s="55" t="str">
        <x:v>25/06/2026</x:v>
      </x:c>
      <x:c r="E10" s="55" t="str">
        <x:v>Fora do Starter de 45 dias; permanecem em roadmap posterior e não são apresentados como parceria confirmada</x:v>
      </x:c>
      <x:c r="F10" s="55" t="str">
        <x:v>Incluir no Starter</x:v>
      </x:c>
      <x:c r="G10" s="55" t="str">
        <x:v>Protege cronograma e verdade comercial</x:v>
      </x:c>
      <x:c r="H10" s="55" t="str">
        <x:v>Menor amplitude na primeira versão</x:v>
      </x:c>
      <x:c r="I10" s="61" t="str">
        <x:v>Hudson</x:v>
      </x:c>
    </x:row>
    <x:row r="11" ht="26.399999618530273" hidden="0" customHeight="1">
      <x:c r="A11" s="60" t="str">
        <x:v>ADR-009</x:v>
      </x:c>
      <x:c r="B11" s="55" t="str">
        <x:v>Product Owner</x:v>
      </x:c>
      <x:c r="C11" s="55" t="str">
        <x:v>Aceito provisório</x:v>
      </x:c>
      <x:c r="D11" s="55" t="str">
        <x:v>25/06/2026</x:v>
      </x:c>
      <x:c r="E11" s="55" t="str">
        <x:v>Hudson atua como PO operacional nos primeiros 45 dias; Fernando é Tech Lead</x:v>
      </x:c>
      <x:c r="F11" s="55" t="str">
        <x:v>PO indefinido</x:v>
      </x:c>
      <x:c r="G11" s="55" t="str">
        <x:v>Decisão rápida e responsabilidade clara</x:v>
      </x:c>
      <x:c r="H11" s="55" t="str">
        <x:v>Risco de sobrecarga; revisar após Starter</x:v>
      </x:c>
      <x:c r="I11" s="61" t="str">
        <x:v>Diretoria</x:v>
      </x:c>
    </x:row>
    <x:row r="12" ht="26.399999618530273" hidden="0" customHeight="1">
      <x:c r="A12" s="62" t="str">
        <x:v>ADR-010</x:v>
      </x:c>
      <x:c r="B12" s="63" t="str">
        <x:v>M0 de 5 dias</x:v>
      </x:c>
      <x:c r="C12" s="63" t="str">
        <x:v>Aceito</x:v>
      </x:c>
      <x:c r="D12" s="63" t="str">
        <x:v>25/06/2026</x:v>
      </x:c>
      <x:c r="E12" s="63" t="str">
        <x:v>M0 é demo funcional controlada, não produção nem piloto ampliado</x:v>
      </x:c>
      <x:c r="F12" s="63" t="str">
        <x:v>Tratar como produto pronto</x:v>
      </x:c>
      <x:c r="G12" s="63" t="str">
        <x:v>Alinha expectativa e reduz risco</x:v>
      </x:c>
      <x:c r="H12" s="63" t="str">
        <x:v>Requer comunicação disciplinada</x:v>
      </x:c>
      <x:c r="I12" s="64" t="str">
        <x:v>Hudson</x:v>
      </x:c>
    </x:row>
  </x:sheetData>
  <x:mergeCells>
    <x:mergeCell ref="A1:I1"/>
  </x:mergeCells>
  <x:dataValidations count="1">
    <x:dataValidation type="list" sqref="C3:C100">
      <x:formula1>"Proposto,Aceito,Aceito condicionado,Aceito provisório,Rejeitado,Superado"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d761d9748045a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22" hidden="0" customWidth="1"/>
    <x:col min="4" max="4" width="26" hidden="0" customWidth="1"/>
    <x:col min="5" max="5" width="24" hidden="0" customWidth="1"/>
    <x:col min="6" max="6" width="44" hidden="0" customWidth="1"/>
  </x:cols>
  <x:sheetData>
    <x:row r="1" ht="19.200000762939453" hidden="0" customHeight="1">
      <x:c r="A1" s="5" t="str">
        <x:v>Protocolo de piloto e critérios de go/no-go</x:v>
      </x:c>
      <x:c r="B1" s="5"/>
      <x:c r="C1" s="5"/>
      <x:c r="D1" s="5"/>
      <x:c r="E1" s="5"/>
      <x:c r="F1" s="5"/>
    </x:row>
    <x:row r="2" ht="15" hidden="0" customHeight="1">
      <x:c r="A2" s="57" t="str">
        <x:v>Coorte/Gate</x:v>
      </x:c>
      <x:c r="B2" s="58" t="str">
        <x:v>Métrica</x:v>
      </x:c>
      <x:c r="C2" s="58" t="str">
        <x:v>Meta</x:v>
      </x:c>
      <x:c r="D2" s="58" t="str">
        <x:v>Coleta</x:v>
      </x:c>
      <x:c r="E2" s="58" t="str">
        <x:v>Owner</x:v>
      </x:c>
      <x:c r="F2" s="59" t="str">
        <x:v>Regra de decisão</x:v>
      </x:c>
    </x:row>
    <x:row r="3" ht="15" hidden="0" customHeight="1">
      <x:c r="A3" s="60" t="str">
        <x:v>M0 Demo Unique</x:v>
      </x:c>
      <x:c r="B3" s="55" t="str">
        <x:v>Fluxo completo executado</x:v>
      </x:c>
      <x:c r="C3" s="55" t="str">
        <x:v>100%</x:v>
      </x:c>
      <x:c r="D3" s="55" t="str">
        <x:v>Roteiro e smoke test</x:v>
      </x:c>
      <x:c r="E3" s="55" t="str">
        <x:v>Fernando</x:v>
      </x:c>
      <x:c r="F3" s="61" t="str">
        <x:v>Bloqueia reunião se fluxo crítico falhar</x:v>
      </x:c>
    </x:row>
    <x:row r="4" ht="15" hidden="0" customHeight="1">
      <x:c r="A4" s="60" t="str">
        <x:v>M0 Demo Unique</x:v>
      </x:c>
      <x:c r="B4" s="55" t="str">
        <x:v>Duração da demonstração</x:v>
      </x:c>
      <x:c r="C4" s="55" t="str">
        <x:v>8-12 min</x:v>
      </x:c>
      <x:c r="D4" s="55" t="str">
        <x:v>Cronometragem</x:v>
      </x:c>
      <x:c r="E4" s="55" t="str">
        <x:v>Hudson</x:v>
      </x:c>
      <x:c r="F4" s="61" t="str">
        <x:v>Ajustar roteiro se &gt;15 min</x:v>
      </x:c>
    </x:row>
    <x:row r="5" ht="15" hidden="0" customHeight="1">
      <x:c r="A5" s="60" t="str">
        <x:v>M0 Demo Unique</x:v>
      </x:c>
      <x:c r="B5" s="55" t="str">
        <x:v>Linguagem tributária segura</x:v>
      </x:c>
      <x:c r="C5" s="55" t="str">
        <x:v>100% das telas</x:v>
      </x:c>
      <x:c r="D5" s="55" t="str">
        <x:v>Checklist jurídico</x:v>
      </x:c>
      <x:c r="E5" s="55" t="str">
        <x:v>Lilian / Especialista</x:v>
      </x:c>
      <x:c r="F5" s="61" t="str">
        <x:v>Bloqueia demonstração externa</x:v>
      </x:c>
    </x:row>
    <x:row r="6" ht="15" hidden="0" customHeight="1">
      <x:c r="A6" s="60" t="str">
        <x:v>Onda 1 - 10 a 15 empresas</x:v>
      </x:c>
      <x:c r="B6" s="55" t="str">
        <x:v>Cadastro concluído</x:v>
      </x:c>
      <x:c r="C6" s="55" t="str">
        <x:v>&gt;=85%</x:v>
      </x:c>
      <x:c r="D6" s="55" t="str">
        <x:v>Eventos de produto</x:v>
      </x:c>
      <x:c r="E6" s="55" t="str">
        <x:v>Tatyanne</x:v>
      </x:c>
      <x:c r="F6" s="61" t="str">
        <x:v>Ajustar onboarding se &lt;80%</x:v>
      </x:c>
    </x:row>
    <x:row r="7" ht="15" hidden="0" customHeight="1">
      <x:c r="A7" s="60" t="str">
        <x:v>Onda 1 - 10 a 15 empresas</x:v>
      </x:c>
      <x:c r="B7" s="55" t="str">
        <x:v>Diagnóstico essencial concluído</x:v>
      </x:c>
      <x:c r="C7" s="55" t="str">
        <x:v>&gt;=75%</x:v>
      </x:c>
      <x:c r="D7" s="55" t="str">
        <x:v>Eventos de produto</x:v>
      </x:c>
      <x:c r="E7" s="55" t="str">
        <x:v>Hudson</x:v>
      </x:c>
      <x:c r="F7" s="61" t="str">
        <x:v>Reduzir/questionário se &lt;70%</x:v>
      </x:c>
    </x:row>
    <x:row r="8" ht="15" hidden="0" customHeight="1">
      <x:c r="A8" s="60" t="str">
        <x:v>Onda 1 - 10 a 15 empresas</x:v>
      </x:c>
      <x:c r="B8" s="55" t="str">
        <x:v>Tempo mediano até primeiro valor</x:v>
      </x:c>
      <x:c r="C8" s="55" t="str">
        <x:v>&lt;=20 min</x:v>
      </x:c>
      <x:c r="D8" s="55" t="str">
        <x:v>Analytics</x:v>
      </x:c>
      <x:c r="E8" s="55" t="str">
        <x:v>Fernando</x:v>
      </x:c>
      <x:c r="F8" s="61" t="str">
        <x:v>Revisar fluxo se &gt;30 min</x:v>
      </x:c>
    </x:row>
    <x:row r="9" ht="15" hidden="0" customHeight="1">
      <x:c r="A9" s="60" t="str">
        <x:v>Onda 1 - 10 a 15 empresas</x:v>
      </x:c>
      <x:c r="B9" s="55" t="str">
        <x:v>Primeira missão criada</x:v>
      </x:c>
      <x:c r="C9" s="55" t="str">
        <x:v>&gt;=65%</x:v>
      </x:c>
      <x:c r="D9" s="55" t="str">
        <x:v>Eventos</x:v>
      </x:c>
      <x:c r="E9" s="55" t="str">
        <x:v>Hudson</x:v>
      </x:c>
      <x:c r="F9" s="61" t="str">
        <x:v>Entrevistar não ativados</x:v>
      </x:c>
    </x:row>
    <x:row r="10" ht="15" hidden="0" customHeight="1">
      <x:c r="A10" s="60" t="str">
        <x:v>Onda 1 - 10 a 15 empresas</x:v>
      </x:c>
      <x:c r="B10" s="55" t="str">
        <x:v>Tax Check concluído por elegíveis</x:v>
      </x:c>
      <x:c r="C10" s="55" t="str">
        <x:v>&gt;=60%</x:v>
      </x:c>
      <x:c r="D10" s="55" t="str">
        <x:v>Analytics</x:v>
      </x:c>
      <x:c r="E10" s="55" t="str">
        <x:v>Tatyanne</x:v>
      </x:c>
      <x:c r="F10" s="61" t="str">
        <x:v>Revisar clareza e confiança</x:v>
      </x:c>
    </x:row>
    <x:row r="11" ht="26.399999618530273" hidden="0" customHeight="1">
      <x:c r="A11" s="60" t="str">
        <x:v>Onda 1 - 10 a 15 empresas</x:v>
      </x:c>
      <x:c r="B11" s="55" t="str">
        <x:v>Referral consentido para Unique</x:v>
      </x:c>
      <x:c r="C11" s="55" t="str">
        <x:v>Medir, sem meta rígida inicial</x:v>
      </x:c>
      <x:c r="D11" s="55" t="str">
        <x:v>Referral log</x:v>
      </x:c>
      <x:c r="E11" s="55" t="str">
        <x:v>Tatyanne</x:v>
      </x:c>
      <x:c r="F11" s="61" t="str">
        <x:v>Não otimizar antes de validar critérios</x:v>
      </x:c>
    </x:row>
    <x:row r="12" ht="15" hidden="0" customHeight="1">
      <x:c r="A12" s="60" t="str">
        <x:v>Onda 1 - 10 a 15 empresas</x:v>
      </x:c>
      <x:c r="B12" s="55" t="str">
        <x:v>Falso positivo tributário</x:v>
      </x:c>
      <x:c r="C12" s="55" t="str">
        <x:v>&lt;=20% inicial, alvo &lt;=10%</x:v>
      </x:c>
      <x:c r="D12" s="55" t="str">
        <x:v>Revisão especialista</x:v>
      </x:c>
      <x:c r="E12" s="55" t="str">
        <x:v>Especialista</x:v>
      </x:c>
      <x:c r="F12" s="61" t="str">
        <x:v>Bloqueia escala se &gt;20%</x:v>
      </x:c>
    </x:row>
    <x:row r="13" ht="15" hidden="0" customHeight="1">
      <x:c r="A13" s="60" t="str">
        <x:v>Onda 1 - 10 a 15 empresas</x:v>
      </x:c>
      <x:c r="B13" s="55" t="str">
        <x:v>Primeiro contato Unique</x:v>
      </x:c>
      <x:c r="C13" s="55" t="str">
        <x:v>Dentro do SLA contratado</x:v>
      </x:c>
      <x:c r="D13" s="55" t="str">
        <x:v>Status referral</x:v>
      </x:c>
      <x:c r="E13" s="55" t="str">
        <x:v>Tatyanne</x:v>
      </x:c>
      <x:c r="F13" s="61" t="str">
        <x:v>Pausar referrals se violação recorrente</x:v>
      </x:c>
    </x:row>
    <x:row r="14" ht="15" hidden="0" customHeight="1">
      <x:c r="A14" s="60" t="str">
        <x:v>Onda 2 - +15 a 20 empresas</x:v>
      </x:c>
      <x:c r="B14" s="55" t="str">
        <x:v>Retorno em 30 dias</x:v>
      </x:c>
      <x:c r="C14" s="55" t="str">
        <x:v>&gt;=50%</x:v>
      </x:c>
      <x:c r="D14" s="55" t="str">
        <x:v>Cohort</x:v>
      </x:c>
      <x:c r="E14" s="55" t="str">
        <x:v>Hudson</x:v>
      </x:c>
      <x:c r="F14" s="61" t="str">
        <x:v>Não avançar se &lt;40%</x:v>
      </x:c>
    </x:row>
    <x:row r="15" ht="15" hidden="0" customHeight="1">
      <x:c r="A15" s="60" t="str">
        <x:v>Onda 2 - +15 a 20 empresas</x:v>
      </x:c>
      <x:c r="B15" s="55" t="str">
        <x:v>Missão concluída</x:v>
      </x:c>
      <x:c r="C15" s="55" t="str">
        <x:v>&gt;=35%</x:v>
      </x:c>
      <x:c r="D15" s="55" t="str">
        <x:v>Eventos</x:v>
      </x:c>
      <x:c r="E15" s="55" t="str">
        <x:v>Hudson</x:v>
      </x:c>
      <x:c r="F15" s="61" t="str">
        <x:v>Revisar missão e suporte</x:v>
      </x:c>
    </x:row>
    <x:row r="16" ht="15" hidden="0" customHeight="1">
      <x:c r="A16" s="60" t="str">
        <x:v>Onda 2 - +15 a 20 empresas</x:v>
      </x:c>
      <x:c r="B16" s="55" t="str">
        <x:v>Satisfação</x:v>
      </x:c>
      <x:c r="C16" s="55" t="str">
        <x:v>&gt;=8/10</x:v>
      </x:c>
      <x:c r="D16" s="55" t="str">
        <x:v>Pesquisa</x:v>
      </x:c>
      <x:c r="E16" s="55" t="str">
        <x:v>Tatyanne</x:v>
      </x:c>
      <x:c r="F16" s="61" t="str">
        <x:v>Analisar causas se &lt;7,5</x:v>
      </x:c>
    </x:row>
    <x:row r="17" ht="15" hidden="0" customHeight="1">
      <x:c r="A17" s="60" t="str">
        <x:v>Onda 3 - até 65 empresas</x:v>
      </x:c>
      <x:c r="B17" s="55" t="str">
        <x:v>Upgrade pago/LOI</x:v>
      </x:c>
      <x:c r="C17" s="55" t="str">
        <x:v>&gt;=10%</x:v>
      </x:c>
      <x:c r="D17" s="55" t="str">
        <x:v>CRM/financeiro</x:v>
      </x:c>
      <x:c r="E17" s="55" t="str">
        <x:v>Lilian / Tatyanne</x:v>
      </x:c>
      <x:c r="F17" s="61" t="str">
        <x:v>Não usar 'upgrade declarado' como prova</x:v>
      </x:c>
    </x:row>
    <x:row r="18" ht="15" hidden="0" customHeight="1">
      <x:c r="A18" s="62" t="str">
        <x:v>Onda 3 - até 65 empresas</x:v>
      </x:c>
      <x:c r="B18" s="63" t="str">
        <x:v>Incidente de vazamento</x:v>
      </x:c>
      <x:c r="C18" s="63" t="str">
        <x:v>0</x:v>
      </x:c>
      <x:c r="D18" s="63" t="str">
        <x:v>Security logs</x:v>
      </x:c>
      <x:c r="E18" s="63" t="str">
        <x:v>Fernando</x:v>
      </x:c>
      <x:c r="F18" s="64" t="str">
        <x:v>Interromper piloto e executar plano P0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592967a465148c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34" hidden="0" customWidth="1"/>
    <x:col min="5" max="5" width="54" hidden="0" customWidth="1"/>
    <x:col min="6" max="6" width="48" hidden="0" customWidth="1"/>
    <x:col min="7" max="7" width="48" hidden="0" customWidth="1"/>
  </x:cols>
  <x:sheetData>
    <x:row r="1" ht="19.200000762939453" hidden="0" customHeight="1">
      <x:c r="A1" s="5" t="str">
        <x:v>Roadmap executivo 5 → 30 → 45 dias</x:v>
      </x:c>
      <x:c r="B1" s="5"/>
      <x:c r="C1" s="5"/>
      <x:c r="D1" s="5"/>
      <x:c r="E1" s="5"/>
      <x:c r="F1" s="5"/>
      <x:c r="G1" s="5"/>
    </x:row>
    <x:row r="2" ht="15" hidden="0" customHeight="1">
      <x:c r="A2" s="57" t="str">
        <x:v>Milestone</x:v>
      </x:c>
      <x:c r="B2" s="58" t="str">
        <x:v>Período</x:v>
      </x:c>
      <x:c r="C2" s="58" t="str">
        <x:v>Data-alvo</x:v>
      </x:c>
      <x:c r="D2" s="58" t="str">
        <x:v>Objetivo</x:v>
      </x:c>
      <x:c r="E2" s="58" t="str">
        <x:v>Incluído</x:v>
      </x:c>
      <x:c r="F2" s="58" t="str">
        <x:v>Fora do escopo</x:v>
      </x:c>
      <x:c r="G2" s="59" t="str">
        <x:v>Gate</x:v>
      </x:c>
    </x:row>
    <x:row r="3" ht="26.399999618530273" hidden="0" customHeight="1">
      <x:c r="A3" s="60" t="str">
        <x:v>M0 - MVP Básico</x:v>
      </x:c>
      <x:c r="B3" s="55" t="str">
        <x:v>25-29/06/2026</x:v>
      </x:c>
      <x:c r="C3" s="55" t="str">
        <x:v>30/06/2026</x:v>
      </x:c>
      <x:c r="D3" s="55" t="str">
        <x:v>Demo funcional controlada para Unique</x:v>
      </x:c>
      <x:c r="E3" s="55" t="str">
        <x:v>Auth demo, empresa, consentimento, diagnóstico, score, dashboard, Tax Check, referral Unique, audit log, roteiro</x:v>
      </x:c>
      <x:c r="F3" s="55" t="str">
        <x:v>Dados reais sensíveis, cálculo de crédito, portal completo, billing, marketplace</x:v>
      </x:c>
      <x:c r="G3" s="61" t="str">
        <x:v>GO para reunião se smoke e linguagem segura aprovados</x:v>
      </x:c>
    </x:row>
    <x:row r="4" ht="26.399999618530273" hidden="0" customHeight="1">
      <x:c r="A4" s="60" t="str">
        <x:v>M1 - MVP Robusto</x:v>
      </x:c>
      <x:c r="B4" s="55" t="str">
        <x:v>30/06-25/07/2026</x:v>
      </x:c>
      <x:c r="C4" s="55" t="str">
        <x:v>25/07/2026</x:v>
      </x:c>
      <x:c r="D4" s="55" t="str">
        <x:v>Piloto controlado e seguro</x:v>
      </x:c>
      <x:c r="E4" s="55" t="str">
        <x:v>Multi-tenancy/RLS, Twin, GDS, missões, evidências, Tax Room, reviewer portal, LGPD, observabilidade, evals, piloto Onda 1</x:v>
      </x:c>
      <x:c r="F4" s="55" t="str">
        <x:v>BEE4, Capital Readiness, agentes autônomos, marketplace aberto</x:v>
      </x:c>
      <x:c r="G4" s="61" t="str">
        <x:v>GO para Onda 1 se gates de segurança, tributário e operação aprovados</x:v>
      </x:c>
    </x:row>
    <x:row r="5" ht="26.399999618530273" hidden="0" customHeight="1">
      <x:c r="A5" s="62" t="str">
        <x:v>V1 Starter</x:v>
      </x:c>
      <x:c r="B5" s="63" t="str">
        <x:v>26/07-09/08/2026</x:v>
      </x:c>
      <x:c r="C5" s="63" t="str">
        <x:v>09/08/2026</x:v>
      </x:c>
      <x:c r="D5" s="63" t="str">
        <x:v>Versão comercial inicial sem BEE4</x:v>
      </x:c>
      <x:c r="E5" s="63" t="str">
        <x:v>Planos/entitlements, ciclo Bronze, parceiros homologados, atribuição, marketplace fechado, relatórios, suporte, analytics, hardening</x:v>
      </x:c>
      <x:c r="F5" s="63" t="str">
        <x:v>BEE4, captação, Outcome Graph preditivo, Conselho completo, integrações em massa</x:v>
      </x:c>
      <x:c r="G5" s="64" t="str">
        <x:v>GO comercial condicionado a KPIs da Onda 1 e ausência de P0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7bcf59dccc942c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5" t="str">
        <x:v>GLOSSÁRIO E REGRAS DE VERDADE</x:v>
      </x:c>
      <x:c r="B1" s="5"/>
      <x:c r="C1" s="5"/>
      <x:c r="D1" s="5"/>
    </x:row>
    <x:row r="3">
      <x:c r="A3" s="57" t="str">
        <x:v>Termo</x:v>
      </x:c>
      <x:c r="B3" s="58" t="str">
        <x:v>Definição</x:v>
      </x:c>
      <x:c r="C3" s="58" t="str">
        <x:v>Uso permitido</x:v>
      </x:c>
      <x:c r="D3" s="59" t="str">
        <x:v>Uso proibido</x:v>
      </x:c>
    </x:row>
    <x:row r="4">
      <x:c r="A4" s="40" t="str">
        <x:v>Fato</x:v>
      </x:c>
      <x:c r="B4" s="41" t="str">
        <x:v>Informação sustentada por dado ou documento</x:v>
      </x:c>
      <x:c r="C4" s="41" t="str">
        <x:v>Apresentar com fonte e data</x:v>
      </x:c>
      <x:c r="D4" s="42" t="str">
        <x:v>Confundir com inferência</x:v>
      </x:c>
    </x:row>
    <x:row r="5">
      <x:c r="A5" s="40" t="str">
        <x:v>Hipótese</x:v>
      </x:c>
      <x:c r="B5" s="41" t="str">
        <x:v>Afirmação ainda não comprovada</x:v>
      </x:c>
      <x:c r="C5" s="41" t="str">
        <x:v>Marcar e testar</x:v>
      </x:c>
      <x:c r="D5" s="42" t="str">
        <x:v>Promover como resultado</x:v>
      </x:c>
    </x:row>
    <x:row r="6">
      <x:c r="A6" s="40" t="str">
        <x:v>Sinal tributário</x:v>
      </x:c>
      <x:c r="B6" s="41" t="str">
        <x:v>Indício para revisão especializada</x:v>
      </x:c>
      <x:c r="C6" s="41" t="str">
        <x:v>Classificar prioridade</x:v>
      </x:c>
      <x:c r="D6" s="42" t="str">
        <x:v>Garantir crédito</x:v>
      </x:c>
    </x:row>
    <x:row r="7">
      <x:c r="A7" s="40" t="str">
        <x:v>Referral Unique</x:v>
      </x:c>
      <x:c r="B7" s="41" t="str">
        <x:v>Encaminhamento consentido ao parceiro de lançamento</x:v>
      </x:c>
      <x:c r="C7" s="41" t="str">
        <x:v>Mostrar patrocínio e critérios</x:v>
      </x:c>
      <x:c r="D7" s="42" t="str">
        <x:v>Apresentar como única solução superior</x:v>
      </x:c>
    </x:row>
    <x:row r="8">
      <x:c r="A8" s="40" t="str">
        <x:v>Ranking orgânico</x:v>
      </x:c>
      <x:c r="B8" s="41" t="str">
        <x:v>Ordenação por fit, reputação, capacidade, SLA, risco e contexto</x:v>
      </x:c>
      <x:c r="C8" s="41" t="str">
        <x:v>Auditar e explicar</x:v>
      </x:c>
      <x:c r="D8" s="42" t="str">
        <x:v>Usar plano ou patrocínio no score</x:v>
      </x:c>
    </x:row>
    <x:row r="9">
      <x:c r="A9" s="40" t="str">
        <x:v>M0</x:v>
      </x:c>
      <x:c r="B9" s="41" t="str">
        <x:v>Demo funcional controlada</x:v>
      </x:c>
      <x:c r="C9" s="41" t="str">
        <x:v>Reunião e prova de fluxo</x:v>
      </x:c>
      <x:c r="D9" s="42" t="str">
        <x:v>Produção ou piloto ampliado</x:v>
      </x:c>
    </x:row>
    <x:row r="10">
      <x:c r="A10" s="43" t="str">
        <x:v>M1</x:v>
      </x:c>
      <x:c r="B10" s="44" t="str">
        <x:v>MVP robusto para piloto controlado</x:v>
      </x:c>
      <x:c r="C10" s="44" t="str">
        <x:v>Onda 1 após gates</x:v>
      </x:c>
      <x:c r="D10" s="45" t="str">
        <x:v>Escala comercial irrestrita</x:v>
      </x:c>
    </x:row>
  </x:sheetData>
  <x:mergeCells>
    <x:mergeCell ref="A1:D1"/>
  </x:mergeCells>
  <x:pageMargins left="0.7" right="0.7" top="0.75" bottom="0.75" header="0.3" footer="0.3"/>
</x:worksheet>
</file>